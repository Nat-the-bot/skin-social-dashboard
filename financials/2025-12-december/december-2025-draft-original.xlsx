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Balance Sheet Detail" sheetId="2" r:id="rId5"/>
    <sheet state="visible" name="Balance Sheet by Month" sheetId="3" r:id="rId6"/>
    <sheet state="visible" name="P&amp;L" sheetId="4" r:id="rId7"/>
    <sheet state="visible" name="P&amp;L Detail" sheetId="5" r:id="rId8"/>
    <sheet state="visible" name="P&amp;L 12 Month Trailing" sheetId="6" r:id="rId9"/>
    <sheet state="visible" name="P&amp;L YTD" sheetId="7" r:id="rId10"/>
  </sheets>
  <definedNames/>
  <calcPr/>
  <extLst>
    <ext uri="GoogleSheetsCustomDataVersion2">
      <go:sheetsCustomData xmlns:go="http://customooxmlschemas.google.com/" r:id="rId11" roundtripDataChecksum="sipM5L2QseMCWCeVRB7g3pmSQM8vjq5ESJTsvnGEWPM="/>
    </ext>
  </extLst>
</workbook>
</file>

<file path=xl/sharedStrings.xml><?xml version="1.0" encoding="utf-8"?>
<sst xmlns="http://schemas.openxmlformats.org/spreadsheetml/2006/main" count="2353" uniqueCount="399">
  <si>
    <t>00.Balance Sheet -</t>
  </si>
  <si>
    <t>Skin Social</t>
  </si>
  <si>
    <t>As of December 31, 2025</t>
  </si>
  <si>
    <t>Distribution account</t>
  </si>
  <si>
    <t>Total</t>
  </si>
  <si>
    <t>Assets</t>
  </si>
  <si>
    <t>Current Assets</t>
  </si>
  <si>
    <t>Bank Accounts</t>
  </si>
  <si>
    <t>Checking - 0424</t>
  </si>
  <si>
    <t>Total for Bank Accounts</t>
  </si>
  <si>
    <t>Other Current Assets</t>
  </si>
  <si>
    <t>Intangible Assets</t>
  </si>
  <si>
    <t>Accumulated Amortization</t>
  </si>
  <si>
    <t>Lease Acquisition Costs</t>
  </si>
  <si>
    <t>Total for Intangible Assets</t>
  </si>
  <si>
    <t>Inventory Asset</t>
  </si>
  <si>
    <t>Skincare products</t>
  </si>
  <si>
    <t>Supplies and materials</t>
  </si>
  <si>
    <t>Total for Inventory Asset</t>
  </si>
  <si>
    <t>QuickBooks Tax Holding Account</t>
  </si>
  <si>
    <t>Total for Other Current Assets</t>
  </si>
  <si>
    <t>Total for Current Assets</t>
  </si>
  <si>
    <t>Fixed Assets</t>
  </si>
  <si>
    <t>Capitalized Leasehold Improvements</t>
  </si>
  <si>
    <t>Accumulated Depreciation</t>
  </si>
  <si>
    <t>Leasehold Improvement</t>
  </si>
  <si>
    <t>Total for Capitalized Leasehold Improvements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</si>
  <si>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</si>
  <si>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</si>
  <si>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</si>
  <si>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</si>
  <si>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</si>
  <si>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</si>
  <si>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Blue Business Cash Card - 91008</t>
  </si>
  <si>
    <t>Plum Card - 94003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</si>
  <si>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</si>
  <si>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</si>
  <si>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</si>
  <si>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</si>
  <si>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</si>
  <si>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</si>
  <si>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GA Income Tax</t>
  </si>
  <si>
    <t>GA Unemployment Tax</t>
  </si>
  <si>
    <t>Total for Payroll Liabilities</t>
  </si>
  <si>
    <t>Sales tax to pay</t>
  </si>
  <si>
    <t>Total for Other Current Liabilities</t>
  </si>
  <si>
    <t>Total for Current Liabilities</t>
  </si>
  <si>
    <t>Total for Liabilities</t>
  </si>
  <si>
    <t>Equity</t>
  </si>
  <si>
    <t>Owner draws</t>
  </si>
  <si>
    <t>Owner investments</t>
  </si>
  <si>
    <t>Personal expenses</t>
  </si>
  <si>
    <t>Personal healthcare</t>
  </si>
  <si>
    <t>Health insurance premiums</t>
  </si>
  <si>
    <t>Total for Personal healthcare</t>
  </si>
  <si>
    <t>Retained Earnings</t>
  </si>
  <si>
    <t>Net Income</t>
  </si>
  <si>
    <t>Total for Equity</t>
  </si>
  <si>
    <t>Total for Liabilities and Equity</t>
  </si>
  <si>
    <t>Accrual Basis Wednesday, January 21, 2026 08:00 PM GMTZ</t>
  </si>
  <si>
    <t>01.Balance Sheet Detail</t>
  </si>
  <si>
    <t>December 2025</t>
  </si>
  <si>
    <t/>
  </si>
  <si>
    <t>Transaction date</t>
  </si>
  <si>
    <t>Transaction type</t>
  </si>
  <si>
    <t>Num</t>
  </si>
  <si>
    <t>Name</t>
  </si>
  <si>
    <t>Memo/Description</t>
  </si>
  <si>
    <t>Split account</t>
  </si>
  <si>
    <t>Debit</t>
  </si>
  <si>
    <t>Credit</t>
  </si>
  <si>
    <t>Amount</t>
  </si>
  <si>
    <t>Balance</t>
  </si>
  <si>
    <t>Beginning Balance</t>
  </si>
  <si>
    <t>12/01/2025</t>
  </si>
  <si>
    <t>Deposit</t>
  </si>
  <si>
    <t>Online Transfer / Payment: Credit from 5/3 BANKCARD SYS - BLVD *SKIN SOCIAL</t>
  </si>
  <si>
    <t>Services</t>
  </si>
  <si>
    <t>Expense</t>
  </si>
  <si>
    <t>ECB Administrative Services LLC</t>
  </si>
  <si>
    <t>Online Transfer / Payment: Debit to ECB ADMINISTRATI - NATALIE FENNER</t>
  </si>
  <si>
    <t>Accounting fees</t>
  </si>
  <si>
    <t>Online Transfer / Payment: Credit from Vagaro Merchant - Skin Social</t>
  </si>
  <si>
    <t>Merz North America Greensboro NC</t>
  </si>
  <si>
    <t>Online Transfer / Payment: Credit from Merz North Ameri - Skin Social PLLC</t>
  </si>
  <si>
    <t>Reward programs</t>
  </si>
  <si>
    <t>American Express</t>
  </si>
  <si>
    <t>Online Transfer / Payment: Debit to AMEX EPAYMENT - Skin Social</t>
  </si>
  <si>
    <t>12/02/2025</t>
  </si>
  <si>
    <t>Online Transfer / Payment: Credit from Alle (Allergan L - SKIN SOCIAL PLLC</t>
  </si>
  <si>
    <t>NLA ARP Sandy Springs, LLC</t>
  </si>
  <si>
    <t>Online Transfer / Payment: Debit to WELLS FARGO BANK, NA - NLA ARP Sandy Sprigs</t>
  </si>
  <si>
    <t>Building &amp; property rent</t>
  </si>
  <si>
    <t>Gusto</t>
  </si>
  <si>
    <t>Online Transfer / Payment: Debit to GUSTO - Skin Social PC PR processing fees</t>
  </si>
  <si>
    <t>Software &amp; apps</t>
  </si>
  <si>
    <t>12/03/2025</t>
  </si>
  <si>
    <t>12/04/2025</t>
  </si>
  <si>
    <t>Online Transfer / Payment: Credit from GRPN MERCH SVCS - Skin Social</t>
  </si>
  <si>
    <t>The Guardian</t>
  </si>
  <si>
    <t>Online Transfer / Payment: Debit to THE GUARDIAN - SKIN SOCIAL PC
Benefits for staff (and me)</t>
  </si>
  <si>
    <t>Employee benefits</t>
  </si>
  <si>
    <t>Credit Card Payment</t>
  </si>
  <si>
    <t>ONLINE PAYMENT - THANK YOU XXXX6008</t>
  </si>
  <si>
    <t>12/05/2025</t>
  </si>
  <si>
    <t>Vagaro</t>
  </si>
  <si>
    <t>Merchant account fees</t>
  </si>
  <si>
    <t>Online Transfer / Payment: Credit from Cherry - SkinSocial</t>
  </si>
  <si>
    <t>Galderma Aspire</t>
  </si>
  <si>
    <t>Online Transfer / Payment: Credit from GALDERMA ASPIRE - SKIN SOCIAL</t>
  </si>
  <si>
    <t>Online Transfer / Payment: Credit from SYNCHRONY BANK - SKIN SOCIAL</t>
  </si>
  <si>
    <t>Online Transfer / Payment: Debit to GUSTO - Skin Social PC</t>
  </si>
  <si>
    <t>Wages</t>
  </si>
  <si>
    <t>12/08/2025</t>
  </si>
  <si>
    <t>Georgia Department of Revenue</t>
  </si>
  <si>
    <t>Online Transfer / Payment: Debit to GEORGIA ITS TAX - SKIN SOCIAL November 2025</t>
  </si>
  <si>
    <t>12/09/2025</t>
  </si>
  <si>
    <t>Dext Capital LLC</t>
  </si>
  <si>
    <t>Online Transfer / Payment: Debit to DEXT CAPITAL LLC - SKIN SOCIAL PLLC</t>
  </si>
  <si>
    <t>Equipment rental</t>
  </si>
  <si>
    <t>12/10/2025</t>
  </si>
  <si>
    <t>Online Transfer / Payment: Credit from ClassPass Inc. - Skin Social</t>
  </si>
  <si>
    <t>12/11/2025</t>
  </si>
  <si>
    <t>12/12/2025</t>
  </si>
  <si>
    <t>12/15/2025</t>
  </si>
  <si>
    <t>MOBILE PAYMENT - THANK YOU XXXX2006</t>
  </si>
  <si>
    <t>12/16/2025</t>
  </si>
  <si>
    <t>12/17/2025</t>
  </si>
  <si>
    <t>MOBILE PAYMENT - THANK YOU XXXX6008</t>
  </si>
  <si>
    <t>Alle by Allergan</t>
  </si>
  <si>
    <t>12/18/2025</t>
  </si>
  <si>
    <t>12/19/2025</t>
  </si>
  <si>
    <t>12/22/2025</t>
  </si>
  <si>
    <t>Online Transfer / Payment: Debit to VAGARO - SKIN SOCIAL</t>
  </si>
  <si>
    <t>Georgia Power</t>
  </si>
  <si>
    <t>Online Transfer / Payment: Debit to GPC - Skin Social</t>
  </si>
  <si>
    <t>Utilities</t>
  </si>
  <si>
    <t>12/23/2025</t>
  </si>
  <si>
    <t>Spotify</t>
  </si>
  <si>
    <t>SPOTIFY USA</t>
  </si>
  <si>
    <t>Memberships &amp; subscriptions</t>
  </si>
  <si>
    <t>12/24/2025</t>
  </si>
  <si>
    <t>12/26/2025</t>
  </si>
  <si>
    <t>12/29/2025</t>
  </si>
  <si>
    <t>Next Insurance</t>
  </si>
  <si>
    <t>Online Transfer / Payment: Debit to NEXT INSUR (AP I - NATALIE FENNER Online Transfer / Payment: Debit to NEXT INSUR (AP I - NATALIE FENNER</t>
  </si>
  <si>
    <t>Insurance</t>
  </si>
  <si>
    <t>12/30/2025</t>
  </si>
  <si>
    <t>Brent Hayek</t>
  </si>
  <si>
    <t>VENMO *BRENT HAYEK
This is my new overseeing physician</t>
  </si>
  <si>
    <t>Contract labor</t>
  </si>
  <si>
    <t>12/31/2025</t>
  </si>
  <si>
    <t>Interest Deposit</t>
  </si>
  <si>
    <t>Interest earned</t>
  </si>
  <si>
    <t>Kaiser Permanente</t>
  </si>
  <si>
    <t>Online Transfer / Payment: Debit to KAISER PERMANENT - XXXXXXXXXXXXXXX
This is my personal health insurance. XXX9859</t>
  </si>
  <si>
    <t>Total for Checking - 0424</t>
  </si>
  <si>
    <t>Journal Entry</t>
  </si>
  <si>
    <t>49</t>
  </si>
  <si>
    <t>To correctly record the GA DOR payroll tax liability due to for the Period: 07/01/2025-09/30/2025</t>
  </si>
  <si>
    <t>Total for QuickBooks Tax Holding Account</t>
  </si>
  <si>
    <t>48</t>
  </si>
  <si>
    <t>Amortization of Lease Acquisition Costs for 2024; lease ends 2/28/2027</t>
  </si>
  <si>
    <t>Total for Accumulated Amortization</t>
  </si>
  <si>
    <t>Total for Lease Acquisition Costs</t>
  </si>
  <si>
    <t>Total for Intangible Assets with sub-accounts</t>
  </si>
  <si>
    <t>Depreciation of Leasehold Improvement for 2024; lease ends 2/28/2027</t>
  </si>
  <si>
    <t>Total for Accumulated Depreciation</t>
  </si>
  <si>
    <t>Total for Leasehold Improvement</t>
  </si>
  <si>
    <t>Total for Capitalized Leasehold Improvements with sub-accounts</t>
  </si>
  <si>
    <t>47</t>
  </si>
  <si>
    <t>to adjust inventory as of 12/31/2025</t>
  </si>
  <si>
    <t>Total for Skincare products</t>
  </si>
  <si>
    <t>Total for Supplies and materials</t>
  </si>
  <si>
    <t>Total for Inventory Asset with sub-accounts</t>
  </si>
  <si>
    <t>Total for Assets with sub-accounts</t>
  </si>
  <si>
    <t>Lifetime Fitness</t>
  </si>
  <si>
    <t>LifeTimeFitness.COM XXX-XXX-6432 MN XXXX2006 LifeTimeFitness.COM XXX-XXX-6432 MN XXXX2006</t>
  </si>
  <si>
    <t>Facebook</t>
  </si>
  <si>
    <t>FACEBK *USJXGXXXYX XXX-XXX-7818 CA XXXX2006</t>
  </si>
  <si>
    <t>Social media</t>
  </si>
  <si>
    <t>Circadia.com</t>
  </si>
  <si>
    <t>SP CIRCADIA LEESPORT PA XXXX2006</t>
  </si>
  <si>
    <t>Cost of Injectables/Skincare Products</t>
  </si>
  <si>
    <t>Credit Card Credit</t>
  </si>
  <si>
    <t>MARCHESESTY RESA</t>
  </si>
  <si>
    <t>SP MARCHESESTY RESA VENICE CA XXXX2006</t>
  </si>
  <si>
    <t>OpenAI Chatgpt</t>
  </si>
  <si>
    <t>OPENAI *CHATGPT SUBSSAN FRANCISCO CA XXXX2006</t>
  </si>
  <si>
    <t>Thistle.co</t>
  </si>
  <si>
    <t>WWW.THISTLE.CO THISTVACAVILLE CA XXXX2006</t>
  </si>
  <si>
    <t>Bydee</t>
  </si>
  <si>
    <t>SP BYDEE USA ALEXANDRIA AU XXXX2006</t>
  </si>
  <si>
    <t>12/07/2025</t>
  </si>
  <si>
    <t>Allergan</t>
  </si>
  <si>
    <t>ALLERGAN XXX-XXX-4148 CA XXXX2006</t>
  </si>
  <si>
    <t>FACEBK *XXPQDXHXYX XXX-XXX-7818 CA XXXX2006</t>
  </si>
  <si>
    <t>FACEBK *XZVXDPZXYX XXX-XXX-7818 CA XXXX2006</t>
  </si>
  <si>
    <t>12/13/2025</t>
  </si>
  <si>
    <t>FACEBK *GYXPAAXXYX XXX-XXX-7818 CA XXXX2006</t>
  </si>
  <si>
    <t>Cash Reward</t>
  </si>
  <si>
    <t>YOUR CASH REWARD/REFUND IS XXXX2006</t>
  </si>
  <si>
    <t>Credit card rewards</t>
  </si>
  <si>
    <t>FACEBK *BUZQXXVXYX XXX-XXX-7818 CA XXXX2006</t>
  </si>
  <si>
    <t>FACEBK *FRFATAXXYX XXX-XXX-7818 CA XXXX2006</t>
  </si>
  <si>
    <t>VAGARO, INC PLEASANTON CA XXXX2006</t>
  </si>
  <si>
    <t>FACEBK *XMXBRXMXYX XXX-XXX-7818 CA XXXX2006</t>
  </si>
  <si>
    <t>Google</t>
  </si>
  <si>
    <t>GOOGLE *GOOGLE ONE G.CO/HELPPAY# CA XXXX2006</t>
  </si>
  <si>
    <t>FACEBK *TSNXSXHXYX XXX-XXX-7818 CA XXXX2006</t>
  </si>
  <si>
    <t>12/27/2025</t>
  </si>
  <si>
    <t>Zapier</t>
  </si>
  <si>
    <t>ZAPIER.COM/CHARGE SAN FRANCISCO CA XXXX2006</t>
  </si>
  <si>
    <t>FACEBK *LXJXXXHXYX XXX-XXX-7818 CA XXXX2006</t>
  </si>
  <si>
    <t>FACEBK *HFTZGBDXYX XXX-XXX-7818 CA XXXX2006</t>
  </si>
  <si>
    <t>Total for Blue Business Cash Card - 91008</t>
  </si>
  <si>
    <t>Aesthetix</t>
  </si>
  <si>
    <t>AESTHETIX GREENVILLE SC XXXX6008 AESTHETIX GREENVILLE SC XXXX6008</t>
  </si>
  <si>
    <t>Advertising &amp; marketing</t>
  </si>
  <si>
    <t>Delta Airlines</t>
  </si>
  <si>
    <t>DELTA AIR LINES ATLANTA XXXX6008</t>
  </si>
  <si>
    <t>Airfare</t>
  </si>
  <si>
    <t>McKesson Medical Surgical</t>
  </si>
  <si>
    <t>MCKESSON MEDICAL SURHENRICO VA XXXX6008</t>
  </si>
  <si>
    <t>Supplies &amp; materials</t>
  </si>
  <si>
    <t>GOOGLE *GSUITE_SKINSCC@GOOGLE.COM CA XXXX6008</t>
  </si>
  <si>
    <t>Comcast</t>
  </si>
  <si>
    <t>COMCAST / XFINITY XXX-XXX-2278 GA XXXX6008</t>
  </si>
  <si>
    <t>Internet &amp; TV services</t>
  </si>
  <si>
    <t>FACEBK *GKFQXXDXXX XXX-XXX-7818 CA XXXX6008</t>
  </si>
  <si>
    <t>Plastix Marketing</t>
  </si>
  <si>
    <t>PLASTIX MARKETING GREENVILLE SC XXXX6008</t>
  </si>
  <si>
    <t>Strive Pharmacy</t>
  </si>
  <si>
    <t>STRIVE PHARMACY TAMPTAMPA FL XXXX6008</t>
  </si>
  <si>
    <t>Amazon</t>
  </si>
  <si>
    <t>AMAZON MARKETPLACE NAMZN.COM/BILL WA XXXX6008</t>
  </si>
  <si>
    <t>AMAZON.COM AMZN.COM/BILL WA XXXX6008</t>
  </si>
  <si>
    <t>FACEBK *AXQJAXDXXX XXX-XXX-7818 CA XXXX6008</t>
  </si>
  <si>
    <t>QuickBooks Payroll</t>
  </si>
  <si>
    <t>INTUIT QUICKBOOKS XXX-XXX-8848 CA XXXX6008</t>
  </si>
  <si>
    <t>Boulevard Labs</t>
  </si>
  <si>
    <t>PY *BOULEVARD LOS ANGELES CA XXXX6008</t>
  </si>
  <si>
    <t>ZO Skin Health Inc.</t>
  </si>
  <si>
    <t>ZO SKIN HEALTH INC IRVINE CA XXXX6008</t>
  </si>
  <si>
    <t>GOOGLE *INSTAGRAM G.CO/HELPPAY# CA XXXX6008</t>
  </si>
  <si>
    <t>12/06/2025</t>
  </si>
  <si>
    <t>Amazon Prime Amazon.com WA XXXX6008</t>
  </si>
  <si>
    <t>Apple</t>
  </si>
  <si>
    <t>APPLE.COM/BILL INTERNET CHARGE CA XXXX6008</t>
  </si>
  <si>
    <t>GOOGLE *YOUTUBEPREMI G.CO/HELPPAY# CA XXXX6008</t>
  </si>
  <si>
    <t>FACEBK *VFXXJXDXXX XXX-XXX-7818 CA XXXX6008</t>
  </si>
  <si>
    <t>FACEBK *5V83W5H432</t>
  </si>
  <si>
    <t>FedEx</t>
  </si>
  <si>
    <t>FedEx Office 0083 Plano TX XXXX6008</t>
  </si>
  <si>
    <t>Shipping &amp; postage</t>
  </si>
  <si>
    <t>GA Natural Gas</t>
  </si>
  <si>
    <t>SPI*GA NATGAS XX0000ATLANTA GA XXXX6008</t>
  </si>
  <si>
    <t>Natural Gas</t>
  </si>
  <si>
    <t>Epicutis</t>
  </si>
  <si>
    <t>EPICUTIS MONMOUTH JUNCTION NJ XXXX6008</t>
  </si>
  <si>
    <t>Olympia Pharmaceuticals</t>
  </si>
  <si>
    <t>OLYMPIA PHARMACEUTICORLANDO FL XXXX6008</t>
  </si>
  <si>
    <t>FACEBK *XXYJNXZXXX XXX-XXX-7818 CA XXXX6008</t>
  </si>
  <si>
    <t>Hydrafacial LLC</t>
  </si>
  <si>
    <t>HYDRAFACIAL LLC LONG BEACH CA XXXX6008</t>
  </si>
  <si>
    <t>STRIVE PHARMACY 0000GILBERT AZ XXXX6008</t>
  </si>
  <si>
    <t>FACEBK *PKXXXXHXXX XXX-XXX-7818 CA XXXX6008</t>
  </si>
  <si>
    <t>FACEBK *ZXWS96VU92 MENLO PARK XXXX6008</t>
  </si>
  <si>
    <t>Canva US Inc.</t>
  </si>
  <si>
    <t>CANVA* IXXXXX-XX0356CAMDEN DE XXXX6008</t>
  </si>
  <si>
    <t>MCKESSON SPECIALTY CIRVING TX XXXX6008</t>
  </si>
  <si>
    <t>AMP-Aesthetic Management Partners, Inc.</t>
  </si>
  <si>
    <t>AMPGROWTH.NET CORDOVA TN XXXX6008</t>
  </si>
  <si>
    <t>12/14/2025</t>
  </si>
  <si>
    <t>Hansbiomed USA</t>
  </si>
  <si>
    <t>SP HANS BIOMED USA SENGLEWOOD CLIFFS NJ XXXX6008</t>
  </si>
  <si>
    <t>360training.com</t>
  </si>
  <si>
    <t>360TRAINING.COM AUSTIN TX XXXX6008</t>
  </si>
  <si>
    <t>Continuing education</t>
  </si>
  <si>
    <t>FACEBK *LQMYXXVXXX XXX-XXX-7818 CA XXXX6008</t>
  </si>
  <si>
    <t>Lice Ladies Sandy Springs</t>
  </si>
  <si>
    <t>GW SANDYSPRINGS LICESANDY SPRINGS GA XXXX6008</t>
  </si>
  <si>
    <t>Repairs &amp; maintenance</t>
  </si>
  <si>
    <t>GW SERV-FEE KENNESAW GA XXXX6008
This was for a license it looks like- perhaps when I renewed my business license</t>
  </si>
  <si>
    <t>Bank fees &amp; service charges</t>
  </si>
  <si>
    <t>12/20/2025</t>
  </si>
  <si>
    <t>FACEBK *XNMRDXXXXX XXX-XXX-7818 CA XXXX6008</t>
  </si>
  <si>
    <t>PLASTIX MARKETING 06GREENVILLE SC XXXX6008</t>
  </si>
  <si>
    <t>12/21/2025</t>
  </si>
  <si>
    <t>FACEBK *XGGZFXXXXX XXX-XXX-7818 CA XXXX6008</t>
  </si>
  <si>
    <t>MERZ NORTH AMERICA RALEIGH NC XXXX6008</t>
  </si>
  <si>
    <t>Arlington Research Collaboration Center</t>
  </si>
  <si>
    <t>IN *COLLABORATING DOARLINGTON VA XXXX6008</t>
  </si>
  <si>
    <t>COMCAST BUSINESS MOBXXX-XXX-0206 PA XXXX6008</t>
  </si>
  <si>
    <t>Early Pay</t>
  </si>
  <si>
    <t>EARLY PAY DISCOUNT XXXX6008</t>
  </si>
  <si>
    <t>Early Pay Discounts</t>
  </si>
  <si>
    <t>12/25/2025</t>
  </si>
  <si>
    <t>Ready Refresh</t>
  </si>
  <si>
    <t>READYREFRESH XXX-XXX-5282 MA XXXX6008</t>
  </si>
  <si>
    <t>Office supplies</t>
  </si>
  <si>
    <t>Ziprecruiter</t>
  </si>
  <si>
    <t>ZIPRECRUITER SANTA MONICA CA XXXX6008</t>
  </si>
  <si>
    <t>Total for Plum Card - 94003</t>
  </si>
  <si>
    <t>46</t>
  </si>
  <si>
    <t>Sales tax</t>
  </si>
  <si>
    <t>Total for Sales tax to pay</t>
  </si>
  <si>
    <t>Total for GA Income Tax</t>
  </si>
  <si>
    <t>Total for Federal Taxes (941/943/944)</t>
  </si>
  <si>
    <t>Total for Federal Unemployment (940)</t>
  </si>
  <si>
    <t>Total for GA Unemployment Tax</t>
  </si>
  <si>
    <t>Total for Payroll Liabilities with sub-accounts</t>
  </si>
  <si>
    <t>Total for Direct Deposit Payable</t>
  </si>
  <si>
    <t>Total for Liabilities with sub-accounts</t>
  </si>
  <si>
    <t>Total for Personal expenses</t>
  </si>
  <si>
    <t>Online Transfer / Payment: Debit to KAISER PERMANENT - XXXXXXXXXXXXXXXXXX9859</t>
  </si>
  <si>
    <t>Total for Health insurance premiums</t>
  </si>
  <si>
    <t>Total for Personal healthcare with sub-accounts</t>
  </si>
  <si>
    <t>Total for Owner draws</t>
  </si>
  <si>
    <t>Total for Owner investments</t>
  </si>
  <si>
    <t>Total for Equity with sub-accounts</t>
  </si>
  <si>
    <t>Total for Liabilities and Equity with sub-accounts</t>
  </si>
  <si>
    <t>Balance Sheet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</si>
  <si>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</si>
  <si>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</si>
  <si>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</si>
  <si>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</si>
  <si>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</si>
  <si>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</si>
  <si>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</si>
  <si>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</si>
  <si>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</si>
  <si>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</si>
  <si>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</si>
  <si>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Accrual Basis Wednesday, January 21, 2026 08:09 PM GMTZ</t>
  </si>
  <si>
    <t>02.Profit and Loss</t>
  </si>
  <si>
    <t>Dec 1 - Dec 31 2025</t>
  </si>
  <si>
    <t>% of Expense</t>
  </si>
  <si>
    <t>% of Income</t>
  </si>
  <si>
    <t>Income</t>
  </si>
  <si>
    <t>Sales of Product Income</t>
  </si>
  <si>
    <t>Total for Income</t>
  </si>
  <si>
    <t>Cost of Goods Sold</t>
  </si>
  <si>
    <t>Cost of goods sold</t>
  </si>
  <si>
    <t>Total for Cost of goods sold</t>
  </si>
  <si>
    <t>Total for Cost of Goods Sold</t>
  </si>
  <si>
    <t>Gross Profit</t>
  </si>
  <si>
    <t>Expenses</t>
  </si>
  <si>
    <t>Total for Advertising &amp; marketing</t>
  </si>
  <si>
    <t>General business expenses</t>
  </si>
  <si>
    <t>Total for General business expenses</t>
  </si>
  <si>
    <t>Legal &amp; accounting services</t>
  </si>
  <si>
    <t>Total for Legal &amp; accounting services</t>
  </si>
  <si>
    <t>Office expenses</t>
  </si>
  <si>
    <t>Total for Office expenses</t>
  </si>
  <si>
    <t>Payroll expenses</t>
  </si>
  <si>
    <t>Taxes</t>
  </si>
  <si>
    <t>Total for Payroll expenses</t>
  </si>
  <si>
    <t>Travel</t>
  </si>
  <si>
    <t>Total for Travel</t>
  </si>
  <si>
    <t>Total for Utilities</t>
  </si>
  <si>
    <t>Total for Expenses</t>
  </si>
  <si>
    <t>Net Operating Income</t>
  </si>
  <si>
    <t>Other Income</t>
  </si>
  <si>
    <t>Other income</t>
  </si>
  <si>
    <t>Total for Other income</t>
  </si>
  <si>
    <t>Total for Other Income</t>
  </si>
  <si>
    <t>Other Expenses</t>
  </si>
  <si>
    <t>Amortization of Lease Acquisition Costs</t>
  </si>
  <si>
    <t>Depreciation</t>
  </si>
  <si>
    <t>Total for Other Expenses</t>
  </si>
  <si>
    <t>Net Other Income</t>
  </si>
  <si>
    <t>Accrual Basis Wednesday, January 21, 2026 08:05 PM GMTZ</t>
  </si>
  <si>
    <t>04.Profit and Loss Detail</t>
  </si>
  <si>
    <t>Location</t>
  </si>
  <si>
    <t>Class full name</t>
  </si>
  <si>
    <t>Item split account</t>
  </si>
  <si>
    <t>Ordinary Income/Expenses</t>
  </si>
  <si>
    <t>Total for Reward programs</t>
  </si>
  <si>
    <t>Total for Sales of Product Income</t>
  </si>
  <si>
    <t>Total for Services</t>
  </si>
  <si>
    <t>Total for Income with sub-accounts</t>
  </si>
  <si>
    <t>Total for Cost of Injectables/Skincare Products</t>
  </si>
  <si>
    <t>Total for Supplies &amp; materials</t>
  </si>
  <si>
    <t>Total for Cost of goods sold with sub-accounts</t>
  </si>
  <si>
    <t>Total for Cost of Goods Sold with sub-accounts</t>
  </si>
  <si>
    <t>Net Ordinary Income</t>
  </si>
  <si>
    <t>Other Income/Expense</t>
  </si>
  <si>
    <t>Other Expense</t>
  </si>
  <si>
    <t>Accrual Basis Wednesday, January 21, 2026 08:06 PM GMTZ</t>
  </si>
  <si>
    <t>Profit and Loss by Month</t>
  </si>
  <si>
    <t>January 1-December 31, 2025</t>
  </si>
  <si>
    <t>Business licences</t>
  </si>
  <si>
    <t>Meals</t>
  </si>
  <si>
    <t>Hotels</t>
  </si>
  <si>
    <t>Uncategorized Expense</t>
  </si>
  <si>
    <t>Disposal &amp; waste fees</t>
  </si>
  <si>
    <t>Vehicle expenses</t>
  </si>
  <si>
    <t>Jan 1 - Dec 31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</si>
</sst>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#,##0.00\%"/>
  </numFmts>
  <fonts count="11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FF0000"/>
      <name val="Arial"/>
    </font>
    <font>
      <b/>
      <sz val="8.0"/>
      <color rgb="FFFF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8" numFmtId="4" xfId="0" applyAlignment="1" applyFont="1" applyNumberFormat="1">
      <alignment shrinkToFit="0" wrapText="1"/>
    </xf>
    <xf borderId="0" fillId="0" fontId="7" numFmtId="0" xfId="0" applyAlignment="1" applyFont="1">
      <alignment horizontal="left"/>
    </xf>
    <xf borderId="2" fillId="0" fontId="9" numFmtId="164" xfId="0" applyAlignment="1" applyBorder="1" applyFont="1" applyNumberFormat="1">
      <alignment shrinkToFit="0" wrapText="1"/>
    </xf>
    <xf borderId="2" fillId="0" fontId="7" numFmtId="4" xfId="0" applyAlignment="1" applyBorder="1" applyFont="1" applyNumberFormat="1">
      <alignment shrinkToFit="0" wrapText="1"/>
    </xf>
    <xf borderId="1" fillId="0" fontId="10" numFmtId="0" xfId="0" applyBorder="1" applyFont="1"/>
    <xf borderId="3" fillId="0" fontId="5" numFmtId="0" xfId="0" applyAlignment="1" applyBorder="1" applyFont="1">
      <alignment horizontal="center" shrinkToFit="0" wrapText="1"/>
    </xf>
    <xf borderId="0" fillId="0" fontId="6" numFmtId="165" xfId="0" applyAlignment="1" applyFont="1" applyNumberFormat="1">
      <alignment shrinkToFit="0" wrapText="1"/>
    </xf>
    <xf borderId="2" fillId="0" fontId="7" numFmtId="165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5"/>
  <cols>
    <col customWidth="1" min="1" max="1" width="38.44"/>
    <col customWidth="1" min="2" max="2" width="17.0"/>
    <col customWidth="1" min="3" max="6" width="11.22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</row>
    <row r="5" ht="15.75" customHeight="1">
      <c r="A5" s="5" t="s">
        <v>3</v>
      </c>
      <c r="B5" s="5" t="s">
        <v>4</v>
      </c>
    </row>
    <row r="6" ht="15.75" customHeight="1">
      <c r="A6" s="6" t="s">
        <v>5</v>
      </c>
      <c r="B6" s="4"/>
    </row>
    <row r="7" ht="15.75" customHeight="1" outlineLevel="1">
      <c r="A7" s="6" t="s">
        <v>6</v>
      </c>
      <c r="B7" s="4"/>
    </row>
    <row r="8" ht="15.75" customHeight="1" outlineLevel="2">
      <c r="A8" s="6" t="s">
        <v>7</v>
      </c>
      <c r="B8" s="4"/>
    </row>
    <row r="9" ht="15.75" customHeight="1" outlineLevel="3">
      <c r="A9" s="6" t="s">
        <v>8</v>
      </c>
      <c r="B9" s="7">
        <v>37520.62</v>
      </c>
    </row>
    <row r="10" ht="15.75" customHeight="1" outlineLevel="2">
      <c r="A10" s="8" t="s">
        <v>9</v>
      </c>
      <c r="B10" s="9">
        <f>B8+B9</f>
        <v>37520.62</v>
      </c>
    </row>
    <row r="11" ht="15.75" customHeight="1" outlineLevel="2">
      <c r="A11" s="6" t="s">
        <v>10</v>
      </c>
      <c r="B11" s="4"/>
    </row>
    <row r="12" ht="15.75" customHeight="1" outlineLevel="3">
      <c r="A12" s="6" t="s">
        <v>11</v>
      </c>
      <c r="B12" s="10"/>
    </row>
    <row r="13" ht="15.75" customHeight="1" outlineLevel="4">
      <c r="A13" s="6" t="s">
        <v>12</v>
      </c>
      <c r="B13" s="7">
        <v>-50526.32</v>
      </c>
    </row>
    <row r="14" ht="15.75" customHeight="1" outlineLevel="4">
      <c r="A14" s="6" t="s">
        <v>13</v>
      </c>
      <c r="B14" s="7">
        <v>80000.0</v>
      </c>
    </row>
    <row r="15" ht="15.75" customHeight="1" outlineLevel="3">
      <c r="A15" s="8" t="s">
        <v>14</v>
      </c>
      <c r="B15" s="9">
        <f>B12+B13+B14</f>
        <v>29473.68</v>
      </c>
    </row>
    <row r="16" ht="15.75" customHeight="1" outlineLevel="3">
      <c r="A16" s="6" t="s">
        <v>15</v>
      </c>
      <c r="B16" s="10"/>
    </row>
    <row r="17" ht="15.75" customHeight="1" outlineLevel="4">
      <c r="A17" s="6" t="s">
        <v>16</v>
      </c>
      <c r="B17" s="7">
        <v>40351.0</v>
      </c>
    </row>
    <row r="18" ht="15.75" customHeight="1" outlineLevel="4">
      <c r="A18" s="6" t="s">
        <v>17</v>
      </c>
      <c r="B18" s="7">
        <v>10088.2</v>
      </c>
    </row>
    <row r="19" ht="15.75" customHeight="1" outlineLevel="3">
      <c r="A19" s="8" t="s">
        <v>18</v>
      </c>
      <c r="B19" s="9">
        <f>B16+B17+B18</f>
        <v>50439.2</v>
      </c>
    </row>
    <row r="20" ht="15.75" customHeight="1" outlineLevel="3">
      <c r="A20" s="6" t="s">
        <v>19</v>
      </c>
      <c r="B20" s="7">
        <v>244.91</v>
      </c>
    </row>
    <row r="21" ht="15.75" customHeight="1" outlineLevel="2">
      <c r="A21" s="8" t="s">
        <v>20</v>
      </c>
      <c r="B21" s="9">
        <f>B11+B15+B19+B20</f>
        <v>80157.79</v>
      </c>
    </row>
    <row r="22" ht="15.75" customHeight="1" outlineLevel="1">
      <c r="A22" s="8" t="s">
        <v>21</v>
      </c>
      <c r="B22" s="9">
        <f>B7+B10+B21</f>
        <v>117678.41</v>
      </c>
    </row>
    <row r="23" ht="15.75" customHeight="1" outlineLevel="1">
      <c r="A23" s="6" t="s">
        <v>22</v>
      </c>
      <c r="B23" s="4"/>
    </row>
    <row r="24" ht="15.75" customHeight="1" outlineLevel="2">
      <c r="A24" s="6" t="s">
        <v>23</v>
      </c>
      <c r="B24" s="10"/>
    </row>
    <row r="25" ht="15.75" customHeight="1" outlineLevel="3">
      <c r="A25" s="6" t="s">
        <v>24</v>
      </c>
      <c r="B25" s="7">
        <v>-33728.84</v>
      </c>
    </row>
    <row r="26" ht="15.75" customHeight="1" outlineLevel="3">
      <c r="A26" s="6" t="s">
        <v>25</v>
      </c>
      <c r="B26" s="7">
        <v>53404.0</v>
      </c>
    </row>
    <row r="27" ht="15.75" customHeight="1" outlineLevel="2">
      <c r="A27" s="8" t="s">
        <v>26</v>
      </c>
      <c r="B27" s="9">
        <f>B24+B25+B26</f>
        <v>19675.16</v>
      </c>
    </row>
    <row r="28" ht="15.75" customHeight="1" outlineLevel="1">
      <c r="A28" s="8" t="s">
        <v>27</v>
      </c>
      <c r="B28" s="9">
        <f>B23+B27</f>
        <v>19675.16</v>
      </c>
    </row>
    <row r="29" ht="15.75" customHeight="1">
      <c r="A29" s="8" t="s">
        <v>28</v>
      </c>
      <c r="B29" s="9">
        <f>B22+B28</f>
        <v>137353.57</v>
      </c>
    </row>
    <row r="30" ht="15.75" customHeight="1">
      <c r="A30" s="6" t="s">
        <v>29</v>
      </c>
      <c r="B30" s="4"/>
    </row>
    <row r="31" ht="15.75" customHeight="1" outlineLevel="1">
      <c r="A31" s="6" t="s">
        <v>30</v>
      </c>
      <c r="B31" s="4"/>
    </row>
    <row r="32" ht="15.75" customHeight="1" outlineLevel="2">
      <c r="A32" s="6" t="s">
        <v>31</v>
      </c>
      <c r="B32" s="4"/>
    </row>
    <row r="33" ht="15.75" customHeight="1" outlineLevel="3">
      <c r="A33" s="6" t="s">
        <v>32</v>
      </c>
      <c r="B33" s="4"/>
    </row>
    <row r="34" ht="15.75" customHeight="1" outlineLevel="4">
      <c r="A34" s="6" t="s">
        <v>33</v>
      </c>
      <c r="B34" s="7">
        <v>4744.53</v>
      </c>
    </row>
    <row r="35" ht="15.75" customHeight="1" outlineLevel="4">
      <c r="A35" s="6" t="s">
        <v>34</v>
      </c>
      <c r="B35" s="7">
        <v>4214.65</v>
      </c>
    </row>
    <row r="36" ht="15.75" customHeight="1" outlineLevel="3">
      <c r="A36" s="8" t="s">
        <v>35</v>
      </c>
      <c r="B36" s="9">
        <f>B33+B34+B35</f>
        <v>8959.18</v>
      </c>
    </row>
    <row r="37" ht="15.75" customHeight="1" outlineLevel="3">
      <c r="A37" s="6" t="s">
        <v>36</v>
      </c>
      <c r="B37" s="4"/>
    </row>
    <row r="38" ht="15.75" customHeight="1" outlineLevel="4">
      <c r="A38" s="6" t="s">
        <v>37</v>
      </c>
      <c r="B38" s="7">
        <v>0.0</v>
      </c>
    </row>
    <row r="39" ht="15.75" customHeight="1" outlineLevel="4">
      <c r="A39" s="6" t="s">
        <v>38</v>
      </c>
      <c r="B39" s="7">
        <v>0.0</v>
      </c>
    </row>
    <row r="40" ht="15.75" customHeight="1" outlineLevel="5">
      <c r="A40" s="6" t="s">
        <v>39</v>
      </c>
      <c r="B40" s="7">
        <v>1471.26</v>
      </c>
    </row>
    <row r="41" ht="15.75" customHeight="1" outlineLevel="5">
      <c r="A41" s="6" t="s">
        <v>40</v>
      </c>
      <c r="B41" s="7">
        <v>168.0</v>
      </c>
    </row>
    <row r="42" ht="15.75" customHeight="1" outlineLevel="5">
      <c r="A42" s="6" t="s">
        <v>41</v>
      </c>
      <c r="B42" s="7">
        <v>474.86</v>
      </c>
    </row>
    <row r="43" ht="15.75" customHeight="1" outlineLevel="5">
      <c r="A43" s="6" t="s">
        <v>42</v>
      </c>
      <c r="B43" s="7">
        <v>-144.23</v>
      </c>
    </row>
    <row r="44" ht="15.75" customHeight="1" outlineLevel="4">
      <c r="A44" s="8" t="s">
        <v>43</v>
      </c>
      <c r="B44" s="9">
        <f>B39+B40+B41+B42+B43</f>
        <v>1969.89</v>
      </c>
    </row>
    <row r="45" ht="15.75" customHeight="1" outlineLevel="4">
      <c r="A45" s="6" t="s">
        <v>44</v>
      </c>
      <c r="B45" s="7">
        <v>235.67</v>
      </c>
    </row>
    <row r="46" ht="15.75" customHeight="1" outlineLevel="3">
      <c r="A46" s="8" t="s">
        <v>45</v>
      </c>
      <c r="B46" s="9">
        <f>B37+B38+B44+B45</f>
        <v>2205.56</v>
      </c>
    </row>
    <row r="47" ht="15.75" customHeight="1" outlineLevel="2">
      <c r="A47" s="8" t="s">
        <v>46</v>
      </c>
      <c r="B47" s="9">
        <f>B32+B36+B46</f>
        <v>11164.74</v>
      </c>
    </row>
    <row r="48" ht="15.75" customHeight="1" outlineLevel="1">
      <c r="A48" s="8" t="s">
        <v>47</v>
      </c>
      <c r="B48" s="9">
        <f>B31+B47</f>
        <v>11164.74</v>
      </c>
    </row>
    <row r="49" ht="15.75" customHeight="1" outlineLevel="1">
      <c r="A49" s="6" t="s">
        <v>48</v>
      </c>
      <c r="B49" s="4"/>
    </row>
    <row r="50" ht="15.75" customHeight="1" outlineLevel="2">
      <c r="A50" s="6" t="s">
        <v>49</v>
      </c>
      <c r="B50" s="7">
        <v>-2000.0</v>
      </c>
    </row>
    <row r="51" ht="15.75" customHeight="1" outlineLevel="2">
      <c r="A51" s="6" t="s">
        <v>50</v>
      </c>
      <c r="B51" s="7">
        <v>161057.16</v>
      </c>
    </row>
    <row r="52" ht="15.75" customHeight="1" outlineLevel="2">
      <c r="A52" s="6" t="s">
        <v>51</v>
      </c>
      <c r="B52" s="7">
        <v>-69487.35</v>
      </c>
    </row>
    <row r="53" ht="15.75" customHeight="1" outlineLevel="2">
      <c r="A53" s="6" t="s">
        <v>52</v>
      </c>
      <c r="B53" s="7">
        <v>-968.32</v>
      </c>
    </row>
    <row r="54" ht="15.75" customHeight="1" outlineLevel="3">
      <c r="A54" s="6" t="s">
        <v>53</v>
      </c>
      <c r="B54" s="7">
        <v>-594.21</v>
      </c>
    </row>
    <row r="55" ht="15.75" customHeight="1" outlineLevel="2">
      <c r="A55" s="8" t="s">
        <v>54</v>
      </c>
      <c r="B55" s="9">
        <f>B53+B54</f>
        <v>-1562.53</v>
      </c>
    </row>
    <row r="56" ht="15.75" customHeight="1" outlineLevel="2">
      <c r="A56" s="6" t="s">
        <v>55</v>
      </c>
      <c r="B56" s="7">
        <v>-13078.649999999983</v>
      </c>
    </row>
    <row r="57" ht="15.75" customHeight="1" outlineLevel="2">
      <c r="A57" s="6" t="s">
        <v>56</v>
      </c>
      <c r="B57" s="7">
        <v>51260.199999999895</v>
      </c>
    </row>
    <row r="58" ht="15.75" customHeight="1" outlineLevel="1">
      <c r="A58" s="8" t="s">
        <v>57</v>
      </c>
      <c r="B58" s="9">
        <f>B49+B50+B51+B52+B55+B56+B57</f>
        <v>126188.83</v>
      </c>
    </row>
    <row r="59" ht="15.75" customHeight="1">
      <c r="A59" s="8" t="s">
        <v>58</v>
      </c>
      <c r="B59" s="9">
        <f>B48+B58</f>
        <v>137353.57</v>
      </c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11" t="s">
        <v>59</v>
      </c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4">
    <mergeCell ref="A1:B1"/>
    <mergeCell ref="A2:B2"/>
    <mergeCell ref="A3:B3"/>
    <mergeCell ref="A63:B6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4"/>
  <cols>
    <col customWidth="1" min="1" max="1" width="4.89"/>
    <col customWidth="1" min="2" max="2" width="13.0"/>
    <col customWidth="1" min="3" max="3" width="13.22"/>
    <col customWidth="1" min="4" max="4" width="4.11"/>
    <col customWidth="1" min="5" max="5" width="26.78"/>
    <col customWidth="1" min="6" max="6" width="85.78"/>
    <col customWidth="1" min="7" max="7" width="23.78"/>
    <col customWidth="1" min="8" max="9" width="6.89"/>
    <col customWidth="1" min="10" max="10" width="8.11"/>
    <col customWidth="1" min="11" max="11" width="7.67"/>
  </cols>
  <sheetData>
    <row r="1" ht="15.75" customHeight="1">
      <c r="A1" s="1" t="s">
        <v>60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</row>
    <row r="6" ht="15.75" customHeight="1">
      <c r="A6" s="1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13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 outlineLevel="2">
      <c r="B8" s="10" t="s">
        <v>73</v>
      </c>
      <c r="C8" s="4"/>
      <c r="D8" s="4"/>
      <c r="E8" s="4"/>
      <c r="F8" s="4"/>
      <c r="G8" s="4"/>
      <c r="H8" s="4"/>
      <c r="I8" s="4"/>
      <c r="J8" s="4"/>
      <c r="K8" s="7">
        <v>47203.41</v>
      </c>
    </row>
    <row r="9" ht="15.75" customHeight="1" outlineLevel="2">
      <c r="B9" s="10" t="s">
        <v>74</v>
      </c>
      <c r="C9" s="10" t="s">
        <v>75</v>
      </c>
      <c r="D9" s="10" t="s">
        <v>62</v>
      </c>
      <c r="E9" s="10" t="s">
        <v>62</v>
      </c>
      <c r="F9" s="10" t="s">
        <v>76</v>
      </c>
      <c r="G9" s="10" t="s">
        <v>77</v>
      </c>
      <c r="H9" s="7">
        <v>96.2</v>
      </c>
      <c r="I9" s="10"/>
      <c r="J9" s="7">
        <v>96.2</v>
      </c>
      <c r="K9" s="7">
        <v>47299.61</v>
      </c>
    </row>
    <row r="10" ht="15.75" customHeight="1" outlineLevel="2">
      <c r="B10" s="10" t="s">
        <v>74</v>
      </c>
      <c r="C10" s="10" t="s">
        <v>75</v>
      </c>
      <c r="D10" s="10" t="s">
        <v>62</v>
      </c>
      <c r="E10" s="10" t="s">
        <v>62</v>
      </c>
      <c r="F10" s="10" t="s">
        <v>76</v>
      </c>
      <c r="G10" s="10" t="s">
        <v>77</v>
      </c>
      <c r="H10" s="7">
        <v>269.48</v>
      </c>
      <c r="I10" s="10"/>
      <c r="J10" s="7">
        <v>269.48</v>
      </c>
      <c r="K10" s="7">
        <v>47569.090000000004</v>
      </c>
    </row>
    <row r="11" ht="15.75" customHeight="1" outlineLevel="2">
      <c r="B11" s="10" t="s">
        <v>74</v>
      </c>
      <c r="C11" s="10" t="s">
        <v>75</v>
      </c>
      <c r="D11" s="10" t="s">
        <v>62</v>
      </c>
      <c r="E11" s="10" t="s">
        <v>62</v>
      </c>
      <c r="F11" s="10" t="s">
        <v>76</v>
      </c>
      <c r="G11" s="10" t="s">
        <v>77</v>
      </c>
      <c r="H11" s="7">
        <v>288.6</v>
      </c>
      <c r="I11" s="10"/>
      <c r="J11" s="7">
        <v>288.6</v>
      </c>
      <c r="K11" s="7">
        <v>47857.69</v>
      </c>
    </row>
    <row r="12" ht="15.75" customHeight="1" outlineLevel="2">
      <c r="B12" s="10" t="s">
        <v>74</v>
      </c>
      <c r="C12" s="10" t="s">
        <v>78</v>
      </c>
      <c r="D12" s="10" t="s">
        <v>62</v>
      </c>
      <c r="E12" s="10" t="s">
        <v>79</v>
      </c>
      <c r="F12" s="10" t="s">
        <v>80</v>
      </c>
      <c r="G12" s="10" t="s">
        <v>81</v>
      </c>
      <c r="H12" s="10"/>
      <c r="I12" s="7">
        <v>700.0</v>
      </c>
      <c r="J12" s="14">
        <v>-700.0</v>
      </c>
      <c r="K12" s="7">
        <v>47157.69</v>
      </c>
    </row>
    <row r="13" ht="15.75" customHeight="1" outlineLevel="2">
      <c r="B13" s="10" t="s">
        <v>74</v>
      </c>
      <c r="C13" s="10" t="s">
        <v>75</v>
      </c>
      <c r="D13" s="10" t="s">
        <v>62</v>
      </c>
      <c r="E13" s="10" t="s">
        <v>62</v>
      </c>
      <c r="F13" s="10" t="s">
        <v>82</v>
      </c>
      <c r="G13" s="10" t="s">
        <v>77</v>
      </c>
      <c r="H13" s="7">
        <v>96.35</v>
      </c>
      <c r="I13" s="10"/>
      <c r="J13" s="7">
        <v>96.35</v>
      </c>
      <c r="K13" s="7">
        <v>47254.04</v>
      </c>
    </row>
    <row r="14" ht="15.75" customHeight="1" outlineLevel="2">
      <c r="B14" s="10" t="s">
        <v>74</v>
      </c>
      <c r="C14" s="10" t="s">
        <v>75</v>
      </c>
      <c r="D14" s="10" t="s">
        <v>62</v>
      </c>
      <c r="E14" s="10" t="s">
        <v>83</v>
      </c>
      <c r="F14" s="10" t="s">
        <v>84</v>
      </c>
      <c r="G14" s="10" t="s">
        <v>85</v>
      </c>
      <c r="H14" s="7">
        <v>75.0</v>
      </c>
      <c r="I14" s="10"/>
      <c r="J14" s="7">
        <v>75.0</v>
      </c>
      <c r="K14" s="7">
        <v>47329.04</v>
      </c>
    </row>
    <row r="15" ht="15.75" customHeight="1" outlineLevel="2">
      <c r="B15" s="10" t="s">
        <v>74</v>
      </c>
      <c r="C15" s="10" t="s">
        <v>78</v>
      </c>
      <c r="D15" s="10" t="s">
        <v>62</v>
      </c>
      <c r="E15" s="10" t="s">
        <v>86</v>
      </c>
      <c r="F15" s="10" t="s">
        <v>87</v>
      </c>
      <c r="G15" s="10" t="s">
        <v>51</v>
      </c>
      <c r="H15" s="10"/>
      <c r="I15" s="7">
        <v>2546.46</v>
      </c>
      <c r="J15" s="14">
        <v>-2546.46</v>
      </c>
      <c r="K15" s="7">
        <v>44782.58</v>
      </c>
    </row>
    <row r="16" ht="15.75" customHeight="1" outlineLevel="2">
      <c r="B16" s="10" t="s">
        <v>88</v>
      </c>
      <c r="C16" s="10" t="s">
        <v>75</v>
      </c>
      <c r="D16" s="10" t="s">
        <v>62</v>
      </c>
      <c r="E16" s="10" t="s">
        <v>62</v>
      </c>
      <c r="F16" s="10" t="s">
        <v>76</v>
      </c>
      <c r="G16" s="10" t="s">
        <v>77</v>
      </c>
      <c r="H16" s="7">
        <v>288.6</v>
      </c>
      <c r="I16" s="10"/>
      <c r="J16" s="7">
        <v>288.6</v>
      </c>
      <c r="K16" s="7">
        <v>45071.18</v>
      </c>
    </row>
    <row r="17" ht="15.75" customHeight="1" outlineLevel="2">
      <c r="B17" s="10" t="s">
        <v>88</v>
      </c>
      <c r="C17" s="10" t="s">
        <v>75</v>
      </c>
      <c r="D17" s="10" t="s">
        <v>62</v>
      </c>
      <c r="E17" s="10" t="s">
        <v>62</v>
      </c>
      <c r="F17" s="10" t="s">
        <v>89</v>
      </c>
      <c r="G17" s="10" t="s">
        <v>85</v>
      </c>
      <c r="H17" s="7">
        <v>80.0</v>
      </c>
      <c r="I17" s="10"/>
      <c r="J17" s="7">
        <v>80.0</v>
      </c>
      <c r="K17" s="7">
        <v>45151.18</v>
      </c>
    </row>
    <row r="18" ht="15.75" customHeight="1" outlineLevel="2">
      <c r="B18" s="10" t="s">
        <v>88</v>
      </c>
      <c r="C18" s="10" t="s">
        <v>78</v>
      </c>
      <c r="D18" s="10" t="s">
        <v>62</v>
      </c>
      <c r="E18" s="10" t="s">
        <v>90</v>
      </c>
      <c r="F18" s="10" t="s">
        <v>91</v>
      </c>
      <c r="G18" s="10" t="s">
        <v>92</v>
      </c>
      <c r="H18" s="10"/>
      <c r="I18" s="7">
        <v>6516.93</v>
      </c>
      <c r="J18" s="14">
        <v>-6516.93</v>
      </c>
      <c r="K18" s="7">
        <v>38634.25</v>
      </c>
    </row>
    <row r="19" ht="15.75" customHeight="1" outlineLevel="2">
      <c r="B19" s="10" t="s">
        <v>88</v>
      </c>
      <c r="C19" s="10" t="s">
        <v>78</v>
      </c>
      <c r="D19" s="10" t="s">
        <v>62</v>
      </c>
      <c r="E19" s="10" t="s">
        <v>93</v>
      </c>
      <c r="F19" s="10" t="s">
        <v>94</v>
      </c>
      <c r="G19" s="10" t="s">
        <v>95</v>
      </c>
      <c r="H19" s="10"/>
      <c r="I19" s="7">
        <v>280.0</v>
      </c>
      <c r="J19" s="14">
        <v>-280.0</v>
      </c>
      <c r="K19" s="7">
        <v>38354.25</v>
      </c>
    </row>
    <row r="20" ht="15.75" customHeight="1" outlineLevel="2">
      <c r="B20" s="10" t="s">
        <v>96</v>
      </c>
      <c r="C20" s="10" t="s">
        <v>75</v>
      </c>
      <c r="D20" s="10" t="s">
        <v>62</v>
      </c>
      <c r="E20" s="10" t="s">
        <v>62</v>
      </c>
      <c r="F20" s="10" t="s">
        <v>76</v>
      </c>
      <c r="G20" s="10" t="s">
        <v>77</v>
      </c>
      <c r="H20" s="7">
        <v>4849.18</v>
      </c>
      <c r="I20" s="10"/>
      <c r="J20" s="7">
        <v>4849.18</v>
      </c>
      <c r="K20" s="7">
        <v>43203.43</v>
      </c>
    </row>
    <row r="21" ht="15.75" customHeight="1" outlineLevel="2">
      <c r="B21" s="10" t="s">
        <v>97</v>
      </c>
      <c r="C21" s="10" t="s">
        <v>75</v>
      </c>
      <c r="D21" s="10" t="s">
        <v>62</v>
      </c>
      <c r="E21" s="10" t="s">
        <v>62</v>
      </c>
      <c r="F21" s="10" t="s">
        <v>76</v>
      </c>
      <c r="G21" s="10" t="s">
        <v>77</v>
      </c>
      <c r="H21" s="7">
        <v>2856.36</v>
      </c>
      <c r="I21" s="10"/>
      <c r="J21" s="7">
        <v>2856.36</v>
      </c>
      <c r="K21" s="7">
        <v>46059.79</v>
      </c>
    </row>
    <row r="22" ht="15.75" customHeight="1" outlineLevel="2">
      <c r="B22" s="10" t="s">
        <v>97</v>
      </c>
      <c r="C22" s="10" t="s">
        <v>75</v>
      </c>
      <c r="D22" s="10" t="s">
        <v>62</v>
      </c>
      <c r="E22" s="10" t="s">
        <v>62</v>
      </c>
      <c r="F22" s="10" t="s">
        <v>98</v>
      </c>
      <c r="G22" s="10" t="s">
        <v>77</v>
      </c>
      <c r="H22" s="7">
        <v>52.04</v>
      </c>
      <c r="I22" s="10"/>
      <c r="J22" s="7">
        <v>52.04</v>
      </c>
      <c r="K22" s="7">
        <v>46111.83</v>
      </c>
    </row>
    <row r="23" ht="15.75" customHeight="1" outlineLevel="2">
      <c r="B23" s="10" t="s">
        <v>97</v>
      </c>
      <c r="C23" s="10" t="s">
        <v>78</v>
      </c>
      <c r="D23" s="10" t="s">
        <v>62</v>
      </c>
      <c r="E23" s="10" t="s">
        <v>99</v>
      </c>
      <c r="F23" s="10" t="s">
        <v>100</v>
      </c>
      <c r="G23" s="10" t="s">
        <v>101</v>
      </c>
      <c r="H23" s="10"/>
      <c r="I23" s="7">
        <v>173.2</v>
      </c>
      <c r="J23" s="14">
        <v>-173.2</v>
      </c>
      <c r="K23" s="7">
        <v>45938.630000000005</v>
      </c>
    </row>
    <row r="24" ht="15.75" customHeight="1" outlineLevel="2">
      <c r="B24" s="10" t="s">
        <v>97</v>
      </c>
      <c r="C24" s="10" t="s">
        <v>102</v>
      </c>
      <c r="D24" s="10" t="s">
        <v>62</v>
      </c>
      <c r="E24" s="10" t="s">
        <v>62</v>
      </c>
      <c r="F24" s="10" t="s">
        <v>103</v>
      </c>
      <c r="G24" s="10" t="s">
        <v>34</v>
      </c>
      <c r="H24" s="10"/>
      <c r="I24" s="7">
        <v>12421.56</v>
      </c>
      <c r="J24" s="14">
        <v>-12421.56</v>
      </c>
      <c r="K24" s="7">
        <v>33517.07000000001</v>
      </c>
    </row>
    <row r="25" ht="15.75" customHeight="1" outlineLevel="2">
      <c r="B25" s="10" t="s">
        <v>104</v>
      </c>
      <c r="C25" s="10" t="s">
        <v>75</v>
      </c>
      <c r="D25" s="10" t="s">
        <v>62</v>
      </c>
      <c r="E25" s="10" t="s">
        <v>105</v>
      </c>
      <c r="F25" s="10" t="s">
        <v>82</v>
      </c>
      <c r="G25" s="10" t="s">
        <v>106</v>
      </c>
      <c r="H25" s="7">
        <v>72.23</v>
      </c>
      <c r="I25" s="10"/>
      <c r="J25" s="7">
        <v>72.23</v>
      </c>
      <c r="K25" s="7">
        <v>33589.30000000001</v>
      </c>
    </row>
    <row r="26" ht="15.75" customHeight="1" outlineLevel="2">
      <c r="B26" s="10" t="s">
        <v>104</v>
      </c>
      <c r="C26" s="10" t="s">
        <v>75</v>
      </c>
      <c r="D26" s="10" t="s">
        <v>62</v>
      </c>
      <c r="E26" s="10" t="s">
        <v>62</v>
      </c>
      <c r="F26" s="10" t="s">
        <v>76</v>
      </c>
      <c r="G26" s="10" t="s">
        <v>77</v>
      </c>
      <c r="H26" s="7">
        <v>669.43</v>
      </c>
      <c r="I26" s="10"/>
      <c r="J26" s="7">
        <v>669.43</v>
      </c>
      <c r="K26" s="7">
        <v>34258.73000000001</v>
      </c>
    </row>
    <row r="27" ht="15.75" customHeight="1" outlineLevel="2">
      <c r="B27" s="10" t="s">
        <v>104</v>
      </c>
      <c r="C27" s="10" t="s">
        <v>75</v>
      </c>
      <c r="D27" s="10" t="s">
        <v>62</v>
      </c>
      <c r="E27" s="10" t="s">
        <v>62</v>
      </c>
      <c r="F27" s="10" t="s">
        <v>107</v>
      </c>
      <c r="G27" s="10" t="s">
        <v>77</v>
      </c>
      <c r="H27" s="7">
        <v>1312.58</v>
      </c>
      <c r="I27" s="10"/>
      <c r="J27" s="7">
        <v>1312.58</v>
      </c>
      <c r="K27" s="7">
        <v>35571.31000000001</v>
      </c>
    </row>
    <row r="28" ht="15.75" customHeight="1" outlineLevel="2">
      <c r="B28" s="10" t="s">
        <v>104</v>
      </c>
      <c r="C28" s="10" t="s">
        <v>75</v>
      </c>
      <c r="D28" s="10" t="s">
        <v>62</v>
      </c>
      <c r="E28" s="10" t="s">
        <v>108</v>
      </c>
      <c r="F28" s="10" t="s">
        <v>109</v>
      </c>
      <c r="G28" s="10" t="s">
        <v>85</v>
      </c>
      <c r="H28" s="7">
        <v>60.0</v>
      </c>
      <c r="I28" s="10"/>
      <c r="J28" s="7">
        <v>60.0</v>
      </c>
      <c r="K28" s="7">
        <v>35631.31000000001</v>
      </c>
    </row>
    <row r="29" ht="15.75" customHeight="1" outlineLevel="2">
      <c r="B29" s="10" t="s">
        <v>104</v>
      </c>
      <c r="C29" s="10" t="s">
        <v>75</v>
      </c>
      <c r="D29" s="10" t="s">
        <v>62</v>
      </c>
      <c r="E29" s="10" t="s">
        <v>62</v>
      </c>
      <c r="F29" s="10" t="s">
        <v>110</v>
      </c>
      <c r="G29" s="10" t="s">
        <v>77</v>
      </c>
      <c r="H29" s="7">
        <v>396.45</v>
      </c>
      <c r="I29" s="10"/>
      <c r="J29" s="7">
        <v>396.45</v>
      </c>
      <c r="K29" s="7">
        <v>36027.76000000001</v>
      </c>
    </row>
    <row r="30" ht="15.75" customHeight="1" outlineLevel="2">
      <c r="B30" s="10" t="s">
        <v>104</v>
      </c>
      <c r="C30" s="10" t="s">
        <v>78</v>
      </c>
      <c r="D30" s="10" t="s">
        <v>62</v>
      </c>
      <c r="E30" s="10" t="s">
        <v>93</v>
      </c>
      <c r="F30" s="10" t="s">
        <v>111</v>
      </c>
      <c r="G30" s="10" t="s">
        <v>112</v>
      </c>
      <c r="H30" s="10"/>
      <c r="I30" s="7">
        <v>6239.29</v>
      </c>
      <c r="J30" s="14">
        <v>-6239.29</v>
      </c>
      <c r="K30" s="7">
        <v>29788.47000000001</v>
      </c>
    </row>
    <row r="31" ht="15.75" customHeight="1" outlineLevel="2">
      <c r="B31" s="10" t="s">
        <v>104</v>
      </c>
      <c r="C31" s="10" t="s">
        <v>78</v>
      </c>
      <c r="D31" s="10" t="s">
        <v>62</v>
      </c>
      <c r="E31" s="10" t="s">
        <v>93</v>
      </c>
      <c r="F31" s="10" t="s">
        <v>111</v>
      </c>
      <c r="G31" s="10" t="s">
        <v>62</v>
      </c>
      <c r="H31" s="10"/>
      <c r="I31" s="7">
        <v>1608.89</v>
      </c>
      <c r="J31" s="14">
        <v>-1608.89</v>
      </c>
      <c r="K31" s="7">
        <v>28179.58000000001</v>
      </c>
    </row>
    <row r="32" ht="15.75" customHeight="1" outlineLevel="2">
      <c r="B32" s="10" t="s">
        <v>113</v>
      </c>
      <c r="C32" s="10" t="s">
        <v>75</v>
      </c>
      <c r="D32" s="10" t="s">
        <v>62</v>
      </c>
      <c r="E32" s="10" t="s">
        <v>62</v>
      </c>
      <c r="F32" s="10" t="s">
        <v>76</v>
      </c>
      <c r="G32" s="10" t="s">
        <v>77</v>
      </c>
      <c r="H32" s="7">
        <v>4717.15</v>
      </c>
      <c r="I32" s="10"/>
      <c r="J32" s="7">
        <v>4717.15</v>
      </c>
      <c r="K32" s="7">
        <v>32896.73000000001</v>
      </c>
    </row>
    <row r="33" ht="15.75" customHeight="1" outlineLevel="2">
      <c r="B33" s="10" t="s">
        <v>113</v>
      </c>
      <c r="C33" s="10" t="s">
        <v>75</v>
      </c>
      <c r="D33" s="10" t="s">
        <v>62</v>
      </c>
      <c r="E33" s="10" t="s">
        <v>62</v>
      </c>
      <c r="F33" s="10" t="s">
        <v>76</v>
      </c>
      <c r="G33" s="10" t="s">
        <v>77</v>
      </c>
      <c r="H33" s="7">
        <v>422.03</v>
      </c>
      <c r="I33" s="10"/>
      <c r="J33" s="7">
        <v>422.03</v>
      </c>
      <c r="K33" s="7">
        <v>33318.76000000001</v>
      </c>
    </row>
    <row r="34" ht="15.75" customHeight="1" outlineLevel="2">
      <c r="B34" s="10" t="s">
        <v>113</v>
      </c>
      <c r="C34" s="10" t="s">
        <v>75</v>
      </c>
      <c r="D34" s="10" t="s">
        <v>62</v>
      </c>
      <c r="E34" s="10" t="s">
        <v>62</v>
      </c>
      <c r="F34" s="10" t="s">
        <v>76</v>
      </c>
      <c r="G34" s="10" t="s">
        <v>77</v>
      </c>
      <c r="H34" s="7">
        <v>2410.46</v>
      </c>
      <c r="I34" s="10"/>
      <c r="J34" s="7">
        <v>2410.46</v>
      </c>
      <c r="K34" s="7">
        <v>35729.22000000001</v>
      </c>
    </row>
    <row r="35" ht="15.75" customHeight="1" outlineLevel="2">
      <c r="B35" s="10" t="s">
        <v>113</v>
      </c>
      <c r="C35" s="10" t="s">
        <v>78</v>
      </c>
      <c r="D35" s="10" t="s">
        <v>62</v>
      </c>
      <c r="E35" s="10" t="s">
        <v>114</v>
      </c>
      <c r="F35" s="10" t="s">
        <v>115</v>
      </c>
      <c r="G35" s="10" t="s">
        <v>44</v>
      </c>
      <c r="H35" s="10"/>
      <c r="I35" s="7">
        <v>422.46</v>
      </c>
      <c r="J35" s="14">
        <v>-422.46</v>
      </c>
      <c r="K35" s="7">
        <v>35306.76000000001</v>
      </c>
    </row>
    <row r="36" ht="15.75" customHeight="1" outlineLevel="2">
      <c r="B36" s="10" t="s">
        <v>116</v>
      </c>
      <c r="C36" s="10" t="s">
        <v>78</v>
      </c>
      <c r="D36" s="10" t="s">
        <v>62</v>
      </c>
      <c r="E36" s="10" t="s">
        <v>117</v>
      </c>
      <c r="F36" s="10" t="s">
        <v>118</v>
      </c>
      <c r="G36" s="10" t="s">
        <v>119</v>
      </c>
      <c r="H36" s="10"/>
      <c r="I36" s="7">
        <v>2827.73</v>
      </c>
      <c r="J36" s="14">
        <v>-2827.73</v>
      </c>
      <c r="K36" s="7">
        <v>32479.03000000001</v>
      </c>
    </row>
    <row r="37" ht="15.75" customHeight="1" outlineLevel="2">
      <c r="B37" s="10" t="s">
        <v>116</v>
      </c>
      <c r="C37" s="10" t="s">
        <v>75</v>
      </c>
      <c r="D37" s="10" t="s">
        <v>62</v>
      </c>
      <c r="E37" s="10" t="s">
        <v>62</v>
      </c>
      <c r="F37" s="10" t="s">
        <v>76</v>
      </c>
      <c r="G37" s="10" t="s">
        <v>77</v>
      </c>
      <c r="H37" s="7">
        <v>914.72</v>
      </c>
      <c r="I37" s="10"/>
      <c r="J37" s="7">
        <v>914.72</v>
      </c>
      <c r="K37" s="7">
        <v>33393.75000000001</v>
      </c>
    </row>
    <row r="38" ht="15.75" customHeight="1" outlineLevel="2">
      <c r="B38" s="10" t="s">
        <v>120</v>
      </c>
      <c r="C38" s="10" t="s">
        <v>75</v>
      </c>
      <c r="D38" s="10" t="s">
        <v>62</v>
      </c>
      <c r="E38" s="10" t="s">
        <v>62</v>
      </c>
      <c r="F38" s="10" t="s">
        <v>76</v>
      </c>
      <c r="G38" s="10" t="s">
        <v>77</v>
      </c>
      <c r="H38" s="7">
        <v>4883.68</v>
      </c>
      <c r="I38" s="10"/>
      <c r="J38" s="7">
        <v>4883.68</v>
      </c>
      <c r="K38" s="7">
        <v>38277.43000000001</v>
      </c>
    </row>
    <row r="39" ht="15.75" customHeight="1" outlineLevel="2">
      <c r="B39" s="10" t="s">
        <v>120</v>
      </c>
      <c r="C39" s="10" t="s">
        <v>75</v>
      </c>
      <c r="D39" s="10" t="s">
        <v>62</v>
      </c>
      <c r="E39" s="10" t="s">
        <v>62</v>
      </c>
      <c r="F39" s="10" t="s">
        <v>121</v>
      </c>
      <c r="G39" s="10" t="s">
        <v>77</v>
      </c>
      <c r="H39" s="7">
        <v>660.0</v>
      </c>
      <c r="I39" s="10"/>
      <c r="J39" s="7">
        <v>660.0</v>
      </c>
      <c r="K39" s="7">
        <v>38937.43000000001</v>
      </c>
    </row>
    <row r="40" ht="15.75" customHeight="1" outlineLevel="2">
      <c r="B40" s="10" t="s">
        <v>122</v>
      </c>
      <c r="C40" s="10" t="s">
        <v>78</v>
      </c>
      <c r="D40" s="10" t="s">
        <v>62</v>
      </c>
      <c r="E40" s="10" t="s">
        <v>79</v>
      </c>
      <c r="F40" s="10" t="s">
        <v>80</v>
      </c>
      <c r="G40" s="10" t="s">
        <v>81</v>
      </c>
      <c r="H40" s="10"/>
      <c r="I40" s="7">
        <v>480.0</v>
      </c>
      <c r="J40" s="14">
        <v>-480.0</v>
      </c>
      <c r="K40" s="7">
        <v>38457.43000000001</v>
      </c>
    </row>
    <row r="41" ht="15.75" customHeight="1" outlineLevel="2">
      <c r="B41" s="10" t="s">
        <v>122</v>
      </c>
      <c r="C41" s="10" t="s">
        <v>75</v>
      </c>
      <c r="D41" s="10" t="s">
        <v>62</v>
      </c>
      <c r="E41" s="10" t="s">
        <v>62</v>
      </c>
      <c r="F41" s="10" t="s">
        <v>76</v>
      </c>
      <c r="G41" s="10" t="s">
        <v>77</v>
      </c>
      <c r="H41" s="7">
        <v>6246.17</v>
      </c>
      <c r="I41" s="10"/>
      <c r="J41" s="7">
        <v>6246.17</v>
      </c>
      <c r="K41" s="7">
        <v>44703.600000000006</v>
      </c>
    </row>
    <row r="42" ht="15.75" customHeight="1" outlineLevel="2">
      <c r="B42" s="10" t="s">
        <v>122</v>
      </c>
      <c r="C42" s="10" t="s">
        <v>75</v>
      </c>
      <c r="D42" s="10" t="s">
        <v>62</v>
      </c>
      <c r="E42" s="10" t="s">
        <v>62</v>
      </c>
      <c r="F42" s="10" t="s">
        <v>98</v>
      </c>
      <c r="G42" s="10" t="s">
        <v>77</v>
      </c>
      <c r="H42" s="7">
        <v>348.4</v>
      </c>
      <c r="I42" s="10"/>
      <c r="J42" s="7">
        <v>348.4</v>
      </c>
      <c r="K42" s="7">
        <v>45052.00000000001</v>
      </c>
    </row>
    <row r="43" ht="15.75" customHeight="1" outlineLevel="2">
      <c r="B43" s="10" t="s">
        <v>123</v>
      </c>
      <c r="C43" s="10" t="s">
        <v>75</v>
      </c>
      <c r="D43" s="10" t="s">
        <v>62</v>
      </c>
      <c r="E43" s="10" t="s">
        <v>62</v>
      </c>
      <c r="F43" s="10" t="s">
        <v>76</v>
      </c>
      <c r="G43" s="10" t="s">
        <v>77</v>
      </c>
      <c r="H43" s="7">
        <v>940.66</v>
      </c>
      <c r="I43" s="10"/>
      <c r="J43" s="7">
        <v>940.66</v>
      </c>
      <c r="K43" s="7">
        <v>45992.66000000001</v>
      </c>
    </row>
    <row r="44" ht="15.75" customHeight="1" outlineLevel="2">
      <c r="B44" s="10" t="s">
        <v>123</v>
      </c>
      <c r="C44" s="10" t="s">
        <v>75</v>
      </c>
      <c r="D44" s="10" t="s">
        <v>62</v>
      </c>
      <c r="E44" s="10" t="s">
        <v>108</v>
      </c>
      <c r="F44" s="10" t="s">
        <v>109</v>
      </c>
      <c r="G44" s="10" t="s">
        <v>85</v>
      </c>
      <c r="H44" s="7">
        <v>20.0</v>
      </c>
      <c r="I44" s="10"/>
      <c r="J44" s="7">
        <v>20.0</v>
      </c>
      <c r="K44" s="7">
        <v>46012.66000000001</v>
      </c>
    </row>
    <row r="45" ht="15.75" customHeight="1" outlineLevel="2">
      <c r="B45" s="10" t="s">
        <v>124</v>
      </c>
      <c r="C45" s="10" t="s">
        <v>102</v>
      </c>
      <c r="D45" s="10" t="s">
        <v>62</v>
      </c>
      <c r="E45" s="10" t="s">
        <v>86</v>
      </c>
      <c r="F45" s="10" t="s">
        <v>125</v>
      </c>
      <c r="G45" s="10" t="s">
        <v>33</v>
      </c>
      <c r="H45" s="10"/>
      <c r="I45" s="7">
        <v>6906.45</v>
      </c>
      <c r="J45" s="14">
        <v>-6906.45</v>
      </c>
      <c r="K45" s="7">
        <v>39106.210000000014</v>
      </c>
    </row>
    <row r="46" ht="15.75" customHeight="1" outlineLevel="2">
      <c r="B46" s="10" t="s">
        <v>124</v>
      </c>
      <c r="C46" s="10" t="s">
        <v>75</v>
      </c>
      <c r="D46" s="10" t="s">
        <v>62</v>
      </c>
      <c r="E46" s="10" t="s">
        <v>62</v>
      </c>
      <c r="F46" s="10" t="s">
        <v>76</v>
      </c>
      <c r="G46" s="10" t="s">
        <v>77</v>
      </c>
      <c r="H46" s="7">
        <v>2273.71</v>
      </c>
      <c r="I46" s="10"/>
      <c r="J46" s="7">
        <v>2273.71</v>
      </c>
      <c r="K46" s="7">
        <v>41379.92000000001</v>
      </c>
    </row>
    <row r="47" ht="15.75" customHeight="1" outlineLevel="2">
      <c r="B47" s="10" t="s">
        <v>124</v>
      </c>
      <c r="C47" s="10" t="s">
        <v>75</v>
      </c>
      <c r="D47" s="10" t="s">
        <v>62</v>
      </c>
      <c r="E47" s="10" t="s">
        <v>62</v>
      </c>
      <c r="F47" s="10" t="s">
        <v>76</v>
      </c>
      <c r="G47" s="10" t="s">
        <v>77</v>
      </c>
      <c r="H47" s="7">
        <v>1640.69</v>
      </c>
      <c r="I47" s="10"/>
      <c r="J47" s="7">
        <v>1640.69</v>
      </c>
      <c r="K47" s="7">
        <v>43020.610000000015</v>
      </c>
    </row>
    <row r="48" ht="15.75" customHeight="1" outlineLevel="2">
      <c r="B48" s="10" t="s">
        <v>124</v>
      </c>
      <c r="C48" s="10" t="s">
        <v>75</v>
      </c>
      <c r="D48" s="10" t="s">
        <v>62</v>
      </c>
      <c r="E48" s="10" t="s">
        <v>62</v>
      </c>
      <c r="F48" s="10" t="s">
        <v>76</v>
      </c>
      <c r="G48" s="10" t="s">
        <v>77</v>
      </c>
      <c r="H48" s="7">
        <v>6139.12</v>
      </c>
      <c r="I48" s="10"/>
      <c r="J48" s="7">
        <v>6139.12</v>
      </c>
      <c r="K48" s="7">
        <v>49159.73000000002</v>
      </c>
    </row>
    <row r="49" ht="15.75" customHeight="1" outlineLevel="2">
      <c r="B49" s="10" t="s">
        <v>126</v>
      </c>
      <c r="C49" s="10" t="s">
        <v>75</v>
      </c>
      <c r="D49" s="10" t="s">
        <v>62</v>
      </c>
      <c r="E49" s="10" t="s">
        <v>62</v>
      </c>
      <c r="F49" s="10" t="s">
        <v>76</v>
      </c>
      <c r="G49" s="10" t="s">
        <v>77</v>
      </c>
      <c r="H49" s="7">
        <v>96.2</v>
      </c>
      <c r="I49" s="10"/>
      <c r="J49" s="7">
        <v>96.2</v>
      </c>
      <c r="K49" s="7">
        <v>49255.930000000015</v>
      </c>
    </row>
    <row r="50" ht="15.75" customHeight="1" outlineLevel="2">
      <c r="B50" s="10" t="s">
        <v>127</v>
      </c>
      <c r="C50" s="10" t="s">
        <v>102</v>
      </c>
      <c r="D50" s="10" t="s">
        <v>62</v>
      </c>
      <c r="E50" s="10" t="s">
        <v>86</v>
      </c>
      <c r="F50" s="10" t="s">
        <v>128</v>
      </c>
      <c r="G50" s="10" t="s">
        <v>34</v>
      </c>
      <c r="H50" s="10"/>
      <c r="I50" s="7">
        <v>20505.02</v>
      </c>
      <c r="J50" s="14">
        <v>-20505.02</v>
      </c>
      <c r="K50" s="7">
        <v>28750.910000000014</v>
      </c>
    </row>
    <row r="51" ht="15.75" customHeight="1" outlineLevel="2">
      <c r="B51" s="10" t="s">
        <v>127</v>
      </c>
      <c r="C51" s="10" t="s">
        <v>75</v>
      </c>
      <c r="D51" s="10" t="s">
        <v>62</v>
      </c>
      <c r="E51" s="10" t="s">
        <v>129</v>
      </c>
      <c r="F51" s="10" t="s">
        <v>89</v>
      </c>
      <c r="G51" s="10" t="s">
        <v>85</v>
      </c>
      <c r="H51" s="7">
        <v>20.0</v>
      </c>
      <c r="I51" s="10"/>
      <c r="J51" s="7">
        <v>20.0</v>
      </c>
      <c r="K51" s="7">
        <v>28770.910000000014</v>
      </c>
    </row>
    <row r="52" ht="15.75" customHeight="1" outlineLevel="2">
      <c r="B52" s="10" t="s">
        <v>127</v>
      </c>
      <c r="C52" s="10" t="s">
        <v>75</v>
      </c>
      <c r="D52" s="10" t="s">
        <v>62</v>
      </c>
      <c r="E52" s="10" t="s">
        <v>62</v>
      </c>
      <c r="F52" s="10" t="s">
        <v>76</v>
      </c>
      <c r="G52" s="10" t="s">
        <v>77</v>
      </c>
      <c r="H52" s="7">
        <v>1533.75</v>
      </c>
      <c r="I52" s="10"/>
      <c r="J52" s="7">
        <v>1533.75</v>
      </c>
      <c r="K52" s="7">
        <v>30304.660000000014</v>
      </c>
    </row>
    <row r="53" ht="15.75" customHeight="1" outlineLevel="2">
      <c r="B53" s="10" t="s">
        <v>130</v>
      </c>
      <c r="C53" s="10" t="s">
        <v>75</v>
      </c>
      <c r="D53" s="10" t="s">
        <v>62</v>
      </c>
      <c r="E53" s="10" t="s">
        <v>62</v>
      </c>
      <c r="F53" s="10" t="s">
        <v>76</v>
      </c>
      <c r="G53" s="10" t="s">
        <v>77</v>
      </c>
      <c r="H53" s="7">
        <v>8935.7</v>
      </c>
      <c r="I53" s="10"/>
      <c r="J53" s="7">
        <v>8935.7</v>
      </c>
      <c r="K53" s="7">
        <v>39240.360000000015</v>
      </c>
    </row>
    <row r="54" ht="15.75" customHeight="1" outlineLevel="2">
      <c r="B54" s="10" t="s">
        <v>131</v>
      </c>
      <c r="C54" s="10" t="s">
        <v>75</v>
      </c>
      <c r="D54" s="10" t="s">
        <v>62</v>
      </c>
      <c r="E54" s="10" t="s">
        <v>62</v>
      </c>
      <c r="F54" s="10" t="s">
        <v>76</v>
      </c>
      <c r="G54" s="10" t="s">
        <v>77</v>
      </c>
      <c r="H54" s="7">
        <v>2953.51</v>
      </c>
      <c r="I54" s="10"/>
      <c r="J54" s="7">
        <v>2953.51</v>
      </c>
      <c r="K54" s="7">
        <v>42193.87000000002</v>
      </c>
    </row>
    <row r="55" ht="15.75" customHeight="1" outlineLevel="2">
      <c r="B55" s="10" t="s">
        <v>131</v>
      </c>
      <c r="C55" s="10" t="s">
        <v>75</v>
      </c>
      <c r="D55" s="10" t="s">
        <v>62</v>
      </c>
      <c r="E55" s="10" t="s">
        <v>62</v>
      </c>
      <c r="F55" s="10" t="s">
        <v>107</v>
      </c>
      <c r="G55" s="10" t="s">
        <v>77</v>
      </c>
      <c r="H55" s="7">
        <v>338.89</v>
      </c>
      <c r="I55" s="10"/>
      <c r="J55" s="7">
        <v>338.89</v>
      </c>
      <c r="K55" s="7">
        <v>42532.76000000002</v>
      </c>
    </row>
    <row r="56" ht="15.75" customHeight="1" outlineLevel="2">
      <c r="B56" s="10" t="s">
        <v>131</v>
      </c>
      <c r="C56" s="10" t="s">
        <v>75</v>
      </c>
      <c r="D56" s="10" t="s">
        <v>62</v>
      </c>
      <c r="E56" s="10" t="s">
        <v>108</v>
      </c>
      <c r="F56" s="10" t="s">
        <v>109</v>
      </c>
      <c r="G56" s="10" t="s">
        <v>85</v>
      </c>
      <c r="H56" s="7">
        <v>80.0</v>
      </c>
      <c r="I56" s="10"/>
      <c r="J56" s="7">
        <v>80.0</v>
      </c>
      <c r="K56" s="7">
        <v>42612.76000000002</v>
      </c>
    </row>
    <row r="57" ht="15.75" customHeight="1" outlineLevel="2">
      <c r="B57" s="10" t="s">
        <v>131</v>
      </c>
      <c r="C57" s="10" t="s">
        <v>78</v>
      </c>
      <c r="D57" s="10" t="s">
        <v>62</v>
      </c>
      <c r="E57" s="10" t="s">
        <v>93</v>
      </c>
      <c r="F57" s="10" t="s">
        <v>111</v>
      </c>
      <c r="G57" s="10" t="s">
        <v>112</v>
      </c>
      <c r="H57" s="10"/>
      <c r="I57" s="7">
        <v>7721.26</v>
      </c>
      <c r="J57" s="14">
        <v>-7721.26</v>
      </c>
      <c r="K57" s="7">
        <v>34891.500000000015</v>
      </c>
    </row>
    <row r="58" ht="15.75" customHeight="1" outlineLevel="2">
      <c r="B58" s="10" t="s">
        <v>131</v>
      </c>
      <c r="C58" s="10" t="s">
        <v>78</v>
      </c>
      <c r="D58" s="10" t="s">
        <v>62</v>
      </c>
      <c r="E58" s="10" t="s">
        <v>93</v>
      </c>
      <c r="F58" s="10" t="s">
        <v>111</v>
      </c>
      <c r="G58" s="10" t="s">
        <v>62</v>
      </c>
      <c r="H58" s="10"/>
      <c r="I58" s="7">
        <v>2141.24</v>
      </c>
      <c r="J58" s="14">
        <v>-2141.24</v>
      </c>
      <c r="K58" s="7">
        <v>32750.260000000017</v>
      </c>
    </row>
    <row r="59" ht="15.75" customHeight="1" outlineLevel="2">
      <c r="B59" s="10" t="s">
        <v>132</v>
      </c>
      <c r="C59" s="10" t="s">
        <v>102</v>
      </c>
      <c r="D59" s="10" t="s">
        <v>62</v>
      </c>
      <c r="E59" s="10" t="s">
        <v>86</v>
      </c>
      <c r="F59" s="10" t="s">
        <v>128</v>
      </c>
      <c r="G59" s="10" t="s">
        <v>34</v>
      </c>
      <c r="H59" s="10"/>
      <c r="I59" s="7">
        <v>10978.35</v>
      </c>
      <c r="J59" s="14">
        <v>-10978.35</v>
      </c>
      <c r="K59" s="7">
        <v>21771.910000000018</v>
      </c>
    </row>
    <row r="60" ht="15.75" customHeight="1" outlineLevel="2">
      <c r="B60" s="10" t="s">
        <v>132</v>
      </c>
      <c r="C60" s="10" t="s">
        <v>78</v>
      </c>
      <c r="D60" s="10" t="s">
        <v>62</v>
      </c>
      <c r="E60" s="10" t="s">
        <v>105</v>
      </c>
      <c r="F60" s="10" t="s">
        <v>133</v>
      </c>
      <c r="G60" s="10" t="s">
        <v>106</v>
      </c>
      <c r="H60" s="10"/>
      <c r="I60" s="7">
        <v>299.0</v>
      </c>
      <c r="J60" s="14">
        <v>-299.0</v>
      </c>
      <c r="K60" s="7">
        <v>21472.910000000018</v>
      </c>
    </row>
    <row r="61" ht="15.75" customHeight="1" outlineLevel="2">
      <c r="B61" s="10" t="s">
        <v>132</v>
      </c>
      <c r="C61" s="10" t="s">
        <v>75</v>
      </c>
      <c r="D61" s="10" t="s">
        <v>62</v>
      </c>
      <c r="E61" s="10" t="s">
        <v>62</v>
      </c>
      <c r="F61" s="10" t="s">
        <v>76</v>
      </c>
      <c r="G61" s="10" t="s">
        <v>77</v>
      </c>
      <c r="H61" s="7">
        <v>2762.42</v>
      </c>
      <c r="I61" s="10"/>
      <c r="J61" s="7">
        <v>2762.42</v>
      </c>
      <c r="K61" s="7">
        <v>24235.330000000016</v>
      </c>
    </row>
    <row r="62" ht="15.75" customHeight="1" outlineLevel="2">
      <c r="B62" s="10" t="s">
        <v>132</v>
      </c>
      <c r="C62" s="10" t="s">
        <v>75</v>
      </c>
      <c r="D62" s="10" t="s">
        <v>62</v>
      </c>
      <c r="E62" s="10" t="s">
        <v>62</v>
      </c>
      <c r="F62" s="10" t="s">
        <v>76</v>
      </c>
      <c r="G62" s="10" t="s">
        <v>77</v>
      </c>
      <c r="H62" s="7">
        <v>1299.81</v>
      </c>
      <c r="I62" s="10"/>
      <c r="J62" s="7">
        <v>1299.81</v>
      </c>
      <c r="K62" s="7">
        <v>25535.140000000018</v>
      </c>
    </row>
    <row r="63" ht="15.75" customHeight="1" outlineLevel="2">
      <c r="B63" s="10" t="s">
        <v>132</v>
      </c>
      <c r="C63" s="10" t="s">
        <v>75</v>
      </c>
      <c r="D63" s="10" t="s">
        <v>62</v>
      </c>
      <c r="E63" s="10" t="s">
        <v>62</v>
      </c>
      <c r="F63" s="10" t="s">
        <v>76</v>
      </c>
      <c r="G63" s="10" t="s">
        <v>77</v>
      </c>
      <c r="H63" s="7">
        <v>6744.71</v>
      </c>
      <c r="I63" s="10"/>
      <c r="J63" s="7">
        <v>6744.71</v>
      </c>
      <c r="K63" s="7">
        <v>32279.850000000017</v>
      </c>
    </row>
    <row r="64" ht="15.75" customHeight="1" outlineLevel="2">
      <c r="B64" s="10" t="s">
        <v>132</v>
      </c>
      <c r="C64" s="10" t="s">
        <v>78</v>
      </c>
      <c r="D64" s="10" t="s">
        <v>62</v>
      </c>
      <c r="E64" s="10" t="s">
        <v>134</v>
      </c>
      <c r="F64" s="10" t="s">
        <v>135</v>
      </c>
      <c r="G64" s="10" t="s">
        <v>136</v>
      </c>
      <c r="H64" s="10"/>
      <c r="I64" s="7">
        <v>227.97</v>
      </c>
      <c r="J64" s="14">
        <v>-227.97</v>
      </c>
      <c r="K64" s="7">
        <v>32051.880000000016</v>
      </c>
    </row>
    <row r="65" ht="15.75" customHeight="1" outlineLevel="2">
      <c r="B65" s="10" t="s">
        <v>137</v>
      </c>
      <c r="C65" s="10" t="s">
        <v>78</v>
      </c>
      <c r="D65" s="10" t="s">
        <v>62</v>
      </c>
      <c r="E65" s="10" t="s">
        <v>138</v>
      </c>
      <c r="F65" s="10" t="s">
        <v>139</v>
      </c>
      <c r="G65" s="10" t="s">
        <v>140</v>
      </c>
      <c r="H65" s="10"/>
      <c r="I65" s="7">
        <v>16.99</v>
      </c>
      <c r="J65" s="14">
        <v>-16.99</v>
      </c>
      <c r="K65" s="7">
        <v>32034.890000000014</v>
      </c>
    </row>
    <row r="66" ht="15.75" customHeight="1" outlineLevel="2">
      <c r="B66" s="10" t="s">
        <v>137</v>
      </c>
      <c r="C66" s="10" t="s">
        <v>75</v>
      </c>
      <c r="D66" s="10" t="s">
        <v>62</v>
      </c>
      <c r="E66" s="10" t="s">
        <v>62</v>
      </c>
      <c r="F66" s="10" t="s">
        <v>76</v>
      </c>
      <c r="G66" s="10" t="s">
        <v>77</v>
      </c>
      <c r="H66" s="7">
        <v>173.28</v>
      </c>
      <c r="I66" s="10"/>
      <c r="J66" s="7">
        <v>173.28</v>
      </c>
      <c r="K66" s="7">
        <v>32208.170000000013</v>
      </c>
    </row>
    <row r="67" ht="15.75" customHeight="1" outlineLevel="2">
      <c r="B67" s="10" t="s">
        <v>137</v>
      </c>
      <c r="C67" s="10" t="s">
        <v>78</v>
      </c>
      <c r="D67" s="10" t="s">
        <v>62</v>
      </c>
      <c r="E67" s="10" t="s">
        <v>86</v>
      </c>
      <c r="F67" s="10" t="s">
        <v>87</v>
      </c>
      <c r="G67" s="10" t="s">
        <v>51</v>
      </c>
      <c r="H67" s="10"/>
      <c r="I67" s="7">
        <v>2785.2</v>
      </c>
      <c r="J67" s="14">
        <v>-2785.2</v>
      </c>
      <c r="K67" s="7">
        <v>29422.970000000012</v>
      </c>
    </row>
    <row r="68" ht="15.75" customHeight="1" outlineLevel="2">
      <c r="B68" s="10" t="s">
        <v>141</v>
      </c>
      <c r="C68" s="10" t="s">
        <v>75</v>
      </c>
      <c r="D68" s="10" t="s">
        <v>62</v>
      </c>
      <c r="E68" s="10" t="s">
        <v>62</v>
      </c>
      <c r="F68" s="10" t="s">
        <v>76</v>
      </c>
      <c r="G68" s="10" t="s">
        <v>77</v>
      </c>
      <c r="H68" s="7">
        <v>3420.72</v>
      </c>
      <c r="I68" s="10"/>
      <c r="J68" s="7">
        <v>3420.72</v>
      </c>
      <c r="K68" s="7">
        <v>32843.69000000001</v>
      </c>
    </row>
    <row r="69" ht="15.75" customHeight="1" outlineLevel="2">
      <c r="B69" s="10" t="s">
        <v>142</v>
      </c>
      <c r="C69" s="10" t="s">
        <v>75</v>
      </c>
      <c r="D69" s="10" t="s">
        <v>62</v>
      </c>
      <c r="E69" s="10" t="s">
        <v>62</v>
      </c>
      <c r="F69" s="10" t="s">
        <v>76</v>
      </c>
      <c r="G69" s="10" t="s">
        <v>77</v>
      </c>
      <c r="H69" s="7">
        <v>3793.92</v>
      </c>
      <c r="I69" s="10"/>
      <c r="J69" s="7">
        <v>3793.92</v>
      </c>
      <c r="K69" s="7">
        <v>36637.61000000001</v>
      </c>
    </row>
    <row r="70" ht="15.75" customHeight="1" outlineLevel="2">
      <c r="B70" s="10" t="s">
        <v>143</v>
      </c>
      <c r="C70" s="10" t="s">
        <v>78</v>
      </c>
      <c r="D70" s="10" t="s">
        <v>62</v>
      </c>
      <c r="E70" s="10" t="s">
        <v>144</v>
      </c>
      <c r="F70" s="10" t="s">
        <v>145</v>
      </c>
      <c r="G70" s="10" t="s">
        <v>146</v>
      </c>
      <c r="H70" s="10"/>
      <c r="I70" s="7">
        <v>61.92</v>
      </c>
      <c r="J70" s="14">
        <v>-61.92</v>
      </c>
      <c r="K70" s="7">
        <v>36575.69000000001</v>
      </c>
    </row>
    <row r="71" ht="15.75" customHeight="1" outlineLevel="2">
      <c r="B71" s="10" t="s">
        <v>143</v>
      </c>
      <c r="C71" s="10" t="s">
        <v>75</v>
      </c>
      <c r="D71" s="10" t="s">
        <v>62</v>
      </c>
      <c r="E71" s="10" t="s">
        <v>62</v>
      </c>
      <c r="F71" s="10" t="s">
        <v>76</v>
      </c>
      <c r="G71" s="10" t="s">
        <v>77</v>
      </c>
      <c r="H71" s="7">
        <v>192.4</v>
      </c>
      <c r="I71" s="10"/>
      <c r="J71" s="7">
        <v>192.4</v>
      </c>
      <c r="K71" s="7">
        <v>36768.09000000001</v>
      </c>
    </row>
    <row r="72" ht="15.75" customHeight="1" outlineLevel="2">
      <c r="B72" s="10" t="s">
        <v>143</v>
      </c>
      <c r="C72" s="10" t="s">
        <v>75</v>
      </c>
      <c r="D72" s="10" t="s">
        <v>62</v>
      </c>
      <c r="E72" s="10" t="s">
        <v>62</v>
      </c>
      <c r="F72" s="10" t="s">
        <v>76</v>
      </c>
      <c r="G72" s="10" t="s">
        <v>77</v>
      </c>
      <c r="H72" s="7">
        <v>481.6</v>
      </c>
      <c r="I72" s="10"/>
      <c r="J72" s="7">
        <v>481.6</v>
      </c>
      <c r="K72" s="7">
        <v>37249.69000000001</v>
      </c>
    </row>
    <row r="73" ht="15.75" customHeight="1" outlineLevel="2">
      <c r="B73" s="10" t="s">
        <v>143</v>
      </c>
      <c r="C73" s="10" t="s">
        <v>75</v>
      </c>
      <c r="D73" s="10" t="s">
        <v>62</v>
      </c>
      <c r="E73" s="10" t="s">
        <v>62</v>
      </c>
      <c r="F73" s="10" t="s">
        <v>76</v>
      </c>
      <c r="G73" s="10" t="s">
        <v>77</v>
      </c>
      <c r="H73" s="7">
        <v>770.35</v>
      </c>
      <c r="I73" s="10"/>
      <c r="J73" s="7">
        <v>770.35</v>
      </c>
      <c r="K73" s="7">
        <v>38020.04000000001</v>
      </c>
    </row>
    <row r="74" ht="15.75" customHeight="1" outlineLevel="2">
      <c r="B74" s="10" t="s">
        <v>147</v>
      </c>
      <c r="C74" s="10" t="s">
        <v>78</v>
      </c>
      <c r="D74" s="10" t="s">
        <v>62</v>
      </c>
      <c r="E74" s="10" t="s">
        <v>148</v>
      </c>
      <c r="F74" s="10" t="s">
        <v>149</v>
      </c>
      <c r="G74" s="10" t="s">
        <v>150</v>
      </c>
      <c r="H74" s="10"/>
      <c r="I74" s="7">
        <v>1199.0</v>
      </c>
      <c r="J74" s="14">
        <v>-1199.0</v>
      </c>
      <c r="K74" s="7">
        <v>36821.04000000001</v>
      </c>
    </row>
    <row r="75" ht="15.75" customHeight="1" outlineLevel="2">
      <c r="B75" s="10" t="s">
        <v>147</v>
      </c>
      <c r="C75" s="10" t="s">
        <v>75</v>
      </c>
      <c r="D75" s="10" t="s">
        <v>62</v>
      </c>
      <c r="E75" s="10" t="s">
        <v>62</v>
      </c>
      <c r="F75" s="10" t="s">
        <v>76</v>
      </c>
      <c r="G75" s="10" t="s">
        <v>77</v>
      </c>
      <c r="H75" s="7">
        <v>1155.75</v>
      </c>
      <c r="I75" s="10"/>
      <c r="J75" s="7">
        <v>1155.75</v>
      </c>
      <c r="K75" s="7">
        <v>37976.79000000001</v>
      </c>
    </row>
    <row r="76" ht="15.75" customHeight="1" outlineLevel="2">
      <c r="B76" s="10" t="s">
        <v>151</v>
      </c>
      <c r="C76" s="10" t="s">
        <v>75</v>
      </c>
      <c r="D76" s="10" t="s">
        <v>62</v>
      </c>
      <c r="E76" s="10" t="s">
        <v>86</v>
      </c>
      <c r="F76" s="10" t="s">
        <v>152</v>
      </c>
      <c r="G76" s="10" t="s">
        <v>153</v>
      </c>
      <c r="H76" s="7">
        <v>41.84</v>
      </c>
      <c r="I76" s="10"/>
      <c r="J76" s="7">
        <v>41.84</v>
      </c>
      <c r="K76" s="7">
        <v>38018.630000000005</v>
      </c>
    </row>
    <row r="77" ht="15.75" customHeight="1" outlineLevel="2">
      <c r="B77" s="10" t="s">
        <v>151</v>
      </c>
      <c r="C77" s="10" t="s">
        <v>78</v>
      </c>
      <c r="D77" s="10" t="s">
        <v>62</v>
      </c>
      <c r="E77" s="10" t="s">
        <v>154</v>
      </c>
      <c r="F77" s="10" t="s">
        <v>155</v>
      </c>
      <c r="G77" s="10" t="s">
        <v>53</v>
      </c>
      <c r="H77" s="10"/>
      <c r="I77" s="7">
        <v>594.21</v>
      </c>
      <c r="J77" s="14">
        <v>-594.21</v>
      </c>
      <c r="K77" s="7">
        <v>37424.420000000006</v>
      </c>
    </row>
    <row r="78" ht="15.75" customHeight="1" outlineLevel="2">
      <c r="B78" s="10" t="s">
        <v>151</v>
      </c>
      <c r="C78" s="10" t="s">
        <v>75</v>
      </c>
      <c r="D78" s="10" t="s">
        <v>62</v>
      </c>
      <c r="E78" s="10" t="s">
        <v>62</v>
      </c>
      <c r="F78" s="10" t="s">
        <v>76</v>
      </c>
      <c r="G78" s="10" t="s">
        <v>77</v>
      </c>
      <c r="H78" s="7">
        <v>96.2</v>
      </c>
      <c r="I78" s="10"/>
      <c r="J78" s="7">
        <v>96.2</v>
      </c>
      <c r="K78" s="7">
        <v>37520.62</v>
      </c>
    </row>
    <row r="79" ht="15.75" customHeight="1" outlineLevel="1">
      <c r="A79" s="15" t="s">
        <v>156</v>
      </c>
      <c r="B79" s="4"/>
      <c r="C79" s="4"/>
      <c r="D79" s="4"/>
      <c r="E79" s="4"/>
      <c r="F79" s="4"/>
      <c r="G79" s="4"/>
      <c r="H79" s="4"/>
      <c r="I79" s="4"/>
      <c r="J79" s="16">
        <f>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+J78</f>
        <v>-9682.79</v>
      </c>
      <c r="K79" s="4"/>
    </row>
    <row r="80" ht="15.75" customHeight="1" outlineLevel="1">
      <c r="A80" s="13" t="s">
        <v>19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 outlineLevel="2">
      <c r="B81" s="10" t="s">
        <v>73</v>
      </c>
      <c r="C81" s="4"/>
      <c r="D81" s="4"/>
      <c r="E81" s="4"/>
      <c r="F81" s="4"/>
      <c r="G81" s="4"/>
      <c r="H81" s="4"/>
      <c r="I81" s="4"/>
      <c r="J81" s="4"/>
      <c r="K81" s="14">
        <v>-773.1</v>
      </c>
    </row>
    <row r="82" ht="15.75" customHeight="1" outlineLevel="2">
      <c r="B82" s="10" t="s">
        <v>151</v>
      </c>
      <c r="C82" s="10" t="s">
        <v>157</v>
      </c>
      <c r="D82" s="10" t="s">
        <v>158</v>
      </c>
      <c r="E82" s="10" t="s">
        <v>62</v>
      </c>
      <c r="F82" s="10" t="s">
        <v>159</v>
      </c>
      <c r="G82" s="10" t="s">
        <v>62</v>
      </c>
      <c r="H82" s="7">
        <v>1018.01</v>
      </c>
      <c r="I82" s="10"/>
      <c r="J82" s="7">
        <v>1018.01</v>
      </c>
      <c r="K82" s="7">
        <v>244.90999999999997</v>
      </c>
    </row>
    <row r="83" ht="15.75" customHeight="1" outlineLevel="1">
      <c r="A83" s="15" t="s">
        <v>160</v>
      </c>
      <c r="B83" s="4"/>
      <c r="C83" s="4"/>
      <c r="D83" s="4"/>
      <c r="E83" s="4"/>
      <c r="F83" s="4"/>
      <c r="G83" s="4"/>
      <c r="H83" s="4"/>
      <c r="I83" s="4"/>
      <c r="J83" s="9">
        <f>J80+J81+J82</f>
        <v>1018.01</v>
      </c>
      <c r="K83" s="4"/>
    </row>
    <row r="84" ht="15.75" customHeight="1" outlineLevel="1">
      <c r="A84" s="13" t="s">
        <v>11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 outlineLevel="2">
      <c r="A85" s="13" t="s">
        <v>12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 outlineLevel="3">
      <c r="B86" s="10" t="s">
        <v>73</v>
      </c>
      <c r="C86" s="4"/>
      <c r="D86" s="4"/>
      <c r="E86" s="4"/>
      <c r="F86" s="4"/>
      <c r="G86" s="4"/>
      <c r="H86" s="4"/>
      <c r="I86" s="4"/>
      <c r="J86" s="4"/>
      <c r="K86" s="14">
        <v>-25263.16</v>
      </c>
    </row>
    <row r="87" ht="15.75" customHeight="1" outlineLevel="3">
      <c r="B87" s="10" t="s">
        <v>151</v>
      </c>
      <c r="C87" s="10" t="s">
        <v>157</v>
      </c>
      <c r="D87" s="10" t="s">
        <v>161</v>
      </c>
      <c r="E87" s="10" t="s">
        <v>62</v>
      </c>
      <c r="F87" s="10" t="s">
        <v>162</v>
      </c>
      <c r="G87" s="10" t="s">
        <v>62</v>
      </c>
      <c r="H87" s="10"/>
      <c r="I87" s="7">
        <v>25263.16</v>
      </c>
      <c r="J87" s="14">
        <v>-25263.16</v>
      </c>
      <c r="K87" s="14">
        <v>-50526.32</v>
      </c>
    </row>
    <row r="88" ht="15.75" customHeight="1" outlineLevel="2">
      <c r="A88" s="15" t="s">
        <v>163</v>
      </c>
      <c r="B88" s="4"/>
      <c r="C88" s="4"/>
      <c r="D88" s="4"/>
      <c r="E88" s="4"/>
      <c r="F88" s="4"/>
      <c r="G88" s="4"/>
      <c r="H88" s="4"/>
      <c r="I88" s="4"/>
      <c r="J88" s="16">
        <f>J85+J86+J87</f>
        <v>-25263.16</v>
      </c>
      <c r="K88" s="4"/>
    </row>
    <row r="89" ht="15.75" customHeight="1" outlineLevel="2">
      <c r="A89" s="13" t="s">
        <v>13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 outlineLevel="3">
      <c r="B90" s="10" t="s">
        <v>73</v>
      </c>
      <c r="C90" s="4"/>
      <c r="D90" s="4"/>
      <c r="E90" s="4"/>
      <c r="F90" s="4"/>
      <c r="G90" s="4"/>
      <c r="H90" s="4"/>
      <c r="I90" s="4"/>
      <c r="J90" s="4"/>
      <c r="K90" s="7">
        <v>80000.0</v>
      </c>
    </row>
    <row r="91" ht="15.75" customHeight="1" outlineLevel="2">
      <c r="A91" s="15" t="s">
        <v>164</v>
      </c>
      <c r="B91" s="4"/>
      <c r="C91" s="4"/>
      <c r="D91" s="4"/>
      <c r="E91" s="4"/>
      <c r="F91" s="4"/>
      <c r="G91" s="4"/>
      <c r="H91" s="4"/>
      <c r="I91" s="4"/>
      <c r="J91" s="17"/>
      <c r="K91" s="4"/>
    </row>
    <row r="92" ht="15.75" customHeight="1" outlineLevel="1">
      <c r="A92" s="15" t="s">
        <v>165</v>
      </c>
      <c r="B92" s="4"/>
      <c r="C92" s="4"/>
      <c r="D92" s="4"/>
      <c r="E92" s="4"/>
      <c r="F92" s="4"/>
      <c r="G92" s="4"/>
      <c r="H92" s="4"/>
      <c r="I92" s="4"/>
      <c r="J92" s="16">
        <f>J84+J88+J91</f>
        <v>-25263.16</v>
      </c>
      <c r="K92" s="4"/>
    </row>
    <row r="93" ht="15.75" customHeight="1" outlineLevel="1">
      <c r="A93" s="13" t="s">
        <v>23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 outlineLevel="2">
      <c r="A94" s="13" t="s">
        <v>24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 outlineLevel="3">
      <c r="B95" s="10" t="s">
        <v>73</v>
      </c>
      <c r="C95" s="4"/>
      <c r="D95" s="4"/>
      <c r="E95" s="4"/>
      <c r="F95" s="4"/>
      <c r="G95" s="4"/>
      <c r="H95" s="4"/>
      <c r="I95" s="4"/>
      <c r="J95" s="4"/>
      <c r="K95" s="14">
        <v>-16864.42</v>
      </c>
    </row>
    <row r="96" ht="15.75" customHeight="1" outlineLevel="3">
      <c r="B96" s="10" t="s">
        <v>151</v>
      </c>
      <c r="C96" s="10" t="s">
        <v>157</v>
      </c>
      <c r="D96" s="10" t="s">
        <v>161</v>
      </c>
      <c r="E96" s="10" t="s">
        <v>62</v>
      </c>
      <c r="F96" s="10" t="s">
        <v>166</v>
      </c>
      <c r="G96" s="10" t="s">
        <v>62</v>
      </c>
      <c r="H96" s="10"/>
      <c r="I96" s="7">
        <v>16864.42</v>
      </c>
      <c r="J96" s="14">
        <v>-16864.42</v>
      </c>
      <c r="K96" s="14">
        <v>-33728.84</v>
      </c>
    </row>
    <row r="97" ht="15.75" customHeight="1" outlineLevel="2">
      <c r="A97" s="15" t="s">
        <v>167</v>
      </c>
      <c r="B97" s="4"/>
      <c r="C97" s="4"/>
      <c r="D97" s="4"/>
      <c r="E97" s="4"/>
      <c r="F97" s="4"/>
      <c r="G97" s="4"/>
      <c r="H97" s="4"/>
      <c r="I97" s="4"/>
      <c r="J97" s="16">
        <f>J94+J95+J96</f>
        <v>-16864.42</v>
      </c>
      <c r="K97" s="4"/>
    </row>
    <row r="98" ht="15.75" customHeight="1" outlineLevel="2">
      <c r="A98" s="13" t="s">
        <v>25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 outlineLevel="3">
      <c r="B99" s="10" t="s">
        <v>73</v>
      </c>
      <c r="C99" s="4"/>
      <c r="D99" s="4"/>
      <c r="E99" s="4"/>
      <c r="F99" s="4"/>
      <c r="G99" s="4"/>
      <c r="H99" s="4"/>
      <c r="I99" s="4"/>
      <c r="J99" s="4"/>
      <c r="K99" s="7">
        <v>53404.0</v>
      </c>
    </row>
    <row r="100" ht="15.75" customHeight="1" outlineLevel="2">
      <c r="A100" s="15" t="s">
        <v>168</v>
      </c>
      <c r="B100" s="4"/>
      <c r="C100" s="4"/>
      <c r="D100" s="4"/>
      <c r="E100" s="4"/>
      <c r="F100" s="4"/>
      <c r="G100" s="4"/>
      <c r="H100" s="4"/>
      <c r="I100" s="4"/>
      <c r="J100" s="17"/>
      <c r="K100" s="4"/>
    </row>
    <row r="101" ht="15.75" customHeight="1" outlineLevel="1">
      <c r="A101" s="15" t="s">
        <v>169</v>
      </c>
      <c r="B101" s="4"/>
      <c r="C101" s="4"/>
      <c r="D101" s="4"/>
      <c r="E101" s="4"/>
      <c r="F101" s="4"/>
      <c r="G101" s="4"/>
      <c r="H101" s="4"/>
      <c r="I101" s="4"/>
      <c r="J101" s="16">
        <f>J93+J97+J100</f>
        <v>-16864.42</v>
      </c>
      <c r="K101" s="4"/>
    </row>
    <row r="102" ht="15.75" customHeight="1" outlineLevel="1">
      <c r="A102" s="13" t="s">
        <v>15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 outlineLevel="2">
      <c r="A103" s="13" t="s">
        <v>16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 outlineLevel="3">
      <c r="B104" s="10" t="s">
        <v>73</v>
      </c>
      <c r="C104" s="4"/>
      <c r="D104" s="4"/>
      <c r="E104" s="4"/>
      <c r="F104" s="4"/>
      <c r="G104" s="4"/>
      <c r="H104" s="4"/>
      <c r="I104" s="4"/>
      <c r="J104" s="4"/>
      <c r="K104" s="7">
        <v>15772.74</v>
      </c>
    </row>
    <row r="105" ht="15.75" customHeight="1" outlineLevel="3">
      <c r="B105" s="10" t="s">
        <v>151</v>
      </c>
      <c r="C105" s="10" t="s">
        <v>157</v>
      </c>
      <c r="D105" s="10" t="s">
        <v>170</v>
      </c>
      <c r="E105" s="10" t="s">
        <v>62</v>
      </c>
      <c r="F105" s="10" t="s">
        <v>171</v>
      </c>
      <c r="G105" s="10" t="s">
        <v>62</v>
      </c>
      <c r="H105" s="7">
        <v>24578.26</v>
      </c>
      <c r="I105" s="10"/>
      <c r="J105" s="7">
        <v>24578.26</v>
      </c>
      <c r="K105" s="7">
        <v>40351.0</v>
      </c>
    </row>
    <row r="106" ht="15.75" customHeight="1" outlineLevel="2">
      <c r="A106" s="15" t="s">
        <v>172</v>
      </c>
      <c r="B106" s="4"/>
      <c r="C106" s="4"/>
      <c r="D106" s="4"/>
      <c r="E106" s="4"/>
      <c r="F106" s="4"/>
      <c r="G106" s="4"/>
      <c r="H106" s="4"/>
      <c r="I106" s="4"/>
      <c r="J106" s="9">
        <f>J103+J104+J105</f>
        <v>24578.26</v>
      </c>
      <c r="K106" s="4"/>
    </row>
    <row r="107" ht="15.75" customHeight="1" outlineLevel="2">
      <c r="A107" s="13" t="s">
        <v>17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 outlineLevel="3">
      <c r="B108" s="10" t="s">
        <v>73</v>
      </c>
      <c r="C108" s="4"/>
      <c r="D108" s="4"/>
      <c r="E108" s="4"/>
      <c r="F108" s="4"/>
      <c r="G108" s="4"/>
      <c r="H108" s="4"/>
      <c r="I108" s="4"/>
      <c r="J108" s="4"/>
      <c r="K108" s="7">
        <v>17036.07</v>
      </c>
    </row>
    <row r="109" ht="15.75" customHeight="1" outlineLevel="3">
      <c r="B109" s="10" t="s">
        <v>151</v>
      </c>
      <c r="C109" s="10" t="s">
        <v>157</v>
      </c>
      <c r="D109" s="10" t="s">
        <v>170</v>
      </c>
      <c r="E109" s="10" t="s">
        <v>62</v>
      </c>
      <c r="F109" s="10" t="s">
        <v>171</v>
      </c>
      <c r="G109" s="10" t="s">
        <v>62</v>
      </c>
      <c r="H109" s="10"/>
      <c r="I109" s="7">
        <v>6947.87</v>
      </c>
      <c r="J109" s="14">
        <v>-6947.87</v>
      </c>
      <c r="K109" s="7">
        <v>10088.2</v>
      </c>
    </row>
    <row r="110" ht="15.75" customHeight="1" outlineLevel="2">
      <c r="A110" s="15" t="s">
        <v>173</v>
      </c>
      <c r="B110" s="4"/>
      <c r="C110" s="4"/>
      <c r="D110" s="4"/>
      <c r="E110" s="4"/>
      <c r="F110" s="4"/>
      <c r="G110" s="4"/>
      <c r="H110" s="4"/>
      <c r="I110" s="4"/>
      <c r="J110" s="16">
        <f>J107+J108+J109</f>
        <v>-6947.87</v>
      </c>
      <c r="K110" s="4"/>
    </row>
    <row r="111" ht="15.75" customHeight="1" outlineLevel="1">
      <c r="A111" s="15" t="s">
        <v>174</v>
      </c>
      <c r="B111" s="4"/>
      <c r="C111" s="4"/>
      <c r="D111" s="4"/>
      <c r="E111" s="4"/>
      <c r="F111" s="4"/>
      <c r="G111" s="4"/>
      <c r="H111" s="4"/>
      <c r="I111" s="4"/>
      <c r="J111" s="9">
        <f>J102+J106+J110</f>
        <v>17630.39</v>
      </c>
      <c r="K111" s="4"/>
    </row>
    <row r="112" ht="15.75" customHeight="1">
      <c r="A112" s="15" t="s">
        <v>175</v>
      </c>
      <c r="B112" s="4"/>
      <c r="C112" s="4"/>
      <c r="D112" s="4"/>
      <c r="E112" s="4"/>
      <c r="F112" s="4"/>
      <c r="G112" s="4"/>
      <c r="H112" s="4"/>
      <c r="I112" s="4"/>
      <c r="J112" s="16">
        <f>J79+J83+J92+J101+J111</f>
        <v>-33161.97</v>
      </c>
      <c r="K112" s="4"/>
    </row>
    <row r="113" ht="15.75" customHeight="1">
      <c r="A113" s="13" t="s">
        <v>29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 outlineLevel="1">
      <c r="A114" s="13" t="s">
        <v>30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 outlineLevel="2">
      <c r="A115" s="13" t="s">
        <v>33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 outlineLevel="3">
      <c r="B116" s="10" t="s">
        <v>73</v>
      </c>
      <c r="C116" s="4"/>
      <c r="D116" s="4"/>
      <c r="E116" s="4"/>
      <c r="F116" s="4"/>
      <c r="G116" s="4"/>
      <c r="H116" s="4"/>
      <c r="I116" s="4"/>
      <c r="J116" s="4"/>
      <c r="K116" s="7">
        <v>3044.19</v>
      </c>
    </row>
    <row r="117" ht="15.75" customHeight="1" outlineLevel="3">
      <c r="B117" s="10" t="s">
        <v>74</v>
      </c>
      <c r="C117" s="10" t="s">
        <v>78</v>
      </c>
      <c r="D117" s="10" t="s">
        <v>62</v>
      </c>
      <c r="E117" s="10" t="s">
        <v>176</v>
      </c>
      <c r="F117" s="10" t="s">
        <v>177</v>
      </c>
      <c r="G117" s="10" t="s">
        <v>51</v>
      </c>
      <c r="H117" s="10"/>
      <c r="I117" s="7">
        <v>296.23</v>
      </c>
      <c r="J117" s="7">
        <v>296.23</v>
      </c>
      <c r="K117" s="7">
        <v>3340.42</v>
      </c>
    </row>
    <row r="118" ht="15.75" customHeight="1" outlineLevel="3">
      <c r="B118" s="10" t="s">
        <v>88</v>
      </c>
      <c r="C118" s="10" t="s">
        <v>78</v>
      </c>
      <c r="D118" s="10" t="s">
        <v>62</v>
      </c>
      <c r="E118" s="10" t="s">
        <v>178</v>
      </c>
      <c r="F118" s="10" t="s">
        <v>179</v>
      </c>
      <c r="G118" s="10" t="s">
        <v>180</v>
      </c>
      <c r="H118" s="10"/>
      <c r="I118" s="7">
        <v>257.0</v>
      </c>
      <c r="J118" s="7">
        <v>257.0</v>
      </c>
      <c r="K118" s="7">
        <v>3597.42</v>
      </c>
    </row>
    <row r="119" ht="15.75" customHeight="1" outlineLevel="3">
      <c r="B119" s="10" t="s">
        <v>97</v>
      </c>
      <c r="C119" s="10" t="s">
        <v>78</v>
      </c>
      <c r="D119" s="10" t="s">
        <v>62</v>
      </c>
      <c r="E119" s="10" t="s">
        <v>181</v>
      </c>
      <c r="F119" s="10" t="s">
        <v>182</v>
      </c>
      <c r="G119" s="10" t="s">
        <v>183</v>
      </c>
      <c r="H119" s="10"/>
      <c r="I119" s="7">
        <v>160.56</v>
      </c>
      <c r="J119" s="7">
        <v>160.56</v>
      </c>
      <c r="K119" s="7">
        <v>3757.98</v>
      </c>
    </row>
    <row r="120" ht="15.75" customHeight="1" outlineLevel="3">
      <c r="B120" s="10" t="s">
        <v>97</v>
      </c>
      <c r="C120" s="10" t="s">
        <v>184</v>
      </c>
      <c r="D120" s="10" t="s">
        <v>62</v>
      </c>
      <c r="E120" s="10" t="s">
        <v>185</v>
      </c>
      <c r="F120" s="10" t="s">
        <v>186</v>
      </c>
      <c r="G120" s="10" t="s">
        <v>51</v>
      </c>
      <c r="H120" s="7">
        <v>18.85</v>
      </c>
      <c r="I120" s="10"/>
      <c r="J120" s="14">
        <v>-18.85</v>
      </c>
      <c r="K120" s="7">
        <v>3739.13</v>
      </c>
    </row>
    <row r="121" ht="15.75" customHeight="1" outlineLevel="3">
      <c r="B121" s="10" t="s">
        <v>104</v>
      </c>
      <c r="C121" s="10" t="s">
        <v>78</v>
      </c>
      <c r="D121" s="10" t="s">
        <v>62</v>
      </c>
      <c r="E121" s="10" t="s">
        <v>187</v>
      </c>
      <c r="F121" s="10" t="s">
        <v>188</v>
      </c>
      <c r="G121" s="10" t="s">
        <v>95</v>
      </c>
      <c r="H121" s="10"/>
      <c r="I121" s="7">
        <v>20.0</v>
      </c>
      <c r="J121" s="7">
        <v>20.0</v>
      </c>
      <c r="K121" s="7">
        <v>3759.13</v>
      </c>
    </row>
    <row r="122" ht="15.75" customHeight="1" outlineLevel="3">
      <c r="B122" s="10" t="s">
        <v>104</v>
      </c>
      <c r="C122" s="10" t="s">
        <v>78</v>
      </c>
      <c r="D122" s="10" t="s">
        <v>62</v>
      </c>
      <c r="E122" s="10" t="s">
        <v>189</v>
      </c>
      <c r="F122" s="10" t="s">
        <v>190</v>
      </c>
      <c r="G122" s="10" t="s">
        <v>51</v>
      </c>
      <c r="H122" s="10"/>
      <c r="I122" s="7">
        <v>157.51</v>
      </c>
      <c r="J122" s="7">
        <v>157.51</v>
      </c>
      <c r="K122" s="7">
        <v>3916.6400000000003</v>
      </c>
    </row>
    <row r="123" ht="15.75" customHeight="1" outlineLevel="3">
      <c r="B123" s="10" t="s">
        <v>104</v>
      </c>
      <c r="C123" s="10" t="s">
        <v>78</v>
      </c>
      <c r="D123" s="10" t="s">
        <v>62</v>
      </c>
      <c r="E123" s="10" t="s">
        <v>191</v>
      </c>
      <c r="F123" s="10" t="s">
        <v>192</v>
      </c>
      <c r="G123" s="10" t="s">
        <v>51</v>
      </c>
      <c r="H123" s="10"/>
      <c r="I123" s="7">
        <v>18.3</v>
      </c>
      <c r="J123" s="7">
        <v>18.3</v>
      </c>
      <c r="K123" s="7">
        <v>3934.9400000000005</v>
      </c>
    </row>
    <row r="124" ht="15.75" customHeight="1" outlineLevel="3">
      <c r="B124" s="10" t="s">
        <v>193</v>
      </c>
      <c r="C124" s="10" t="s">
        <v>78</v>
      </c>
      <c r="D124" s="10" t="s">
        <v>62</v>
      </c>
      <c r="E124" s="10" t="s">
        <v>194</v>
      </c>
      <c r="F124" s="10" t="s">
        <v>195</v>
      </c>
      <c r="G124" s="10" t="s">
        <v>183</v>
      </c>
      <c r="H124" s="10"/>
      <c r="I124" s="7">
        <v>1968.0</v>
      </c>
      <c r="J124" s="7">
        <v>1968.0</v>
      </c>
      <c r="K124" s="7">
        <v>5902.9400000000005</v>
      </c>
    </row>
    <row r="125" ht="15.75" customHeight="1" outlineLevel="3">
      <c r="B125" s="10" t="s">
        <v>113</v>
      </c>
      <c r="C125" s="10" t="s">
        <v>78</v>
      </c>
      <c r="D125" s="10" t="s">
        <v>62</v>
      </c>
      <c r="E125" s="10" t="s">
        <v>178</v>
      </c>
      <c r="F125" s="10" t="s">
        <v>196</v>
      </c>
      <c r="G125" s="10" t="s">
        <v>180</v>
      </c>
      <c r="H125" s="10"/>
      <c r="I125" s="7">
        <v>269.0</v>
      </c>
      <c r="J125" s="7">
        <v>269.0</v>
      </c>
      <c r="K125" s="7">
        <v>6171.9400000000005</v>
      </c>
    </row>
    <row r="126" ht="15.75" customHeight="1" outlineLevel="3">
      <c r="B126" s="10" t="s">
        <v>120</v>
      </c>
      <c r="C126" s="10" t="s">
        <v>78</v>
      </c>
      <c r="D126" s="10" t="s">
        <v>62</v>
      </c>
      <c r="E126" s="10" t="s">
        <v>178</v>
      </c>
      <c r="F126" s="10" t="s">
        <v>197</v>
      </c>
      <c r="G126" s="10" t="s">
        <v>180</v>
      </c>
      <c r="H126" s="10"/>
      <c r="I126" s="7">
        <v>282.0</v>
      </c>
      <c r="J126" s="7">
        <v>282.0</v>
      </c>
      <c r="K126" s="7">
        <v>6453.9400000000005</v>
      </c>
    </row>
    <row r="127" ht="15.75" customHeight="1" outlineLevel="3">
      <c r="B127" s="10" t="s">
        <v>123</v>
      </c>
      <c r="C127" s="10" t="s">
        <v>78</v>
      </c>
      <c r="D127" s="10" t="s">
        <v>62</v>
      </c>
      <c r="E127" s="10" t="s">
        <v>189</v>
      </c>
      <c r="F127" s="10" t="s">
        <v>190</v>
      </c>
      <c r="G127" s="10" t="s">
        <v>51</v>
      </c>
      <c r="H127" s="10"/>
      <c r="I127" s="7">
        <v>157.51</v>
      </c>
      <c r="J127" s="7">
        <v>157.51</v>
      </c>
      <c r="K127" s="7">
        <v>6611.450000000001</v>
      </c>
    </row>
    <row r="128" ht="15.75" customHeight="1" outlineLevel="3">
      <c r="B128" s="10" t="s">
        <v>198</v>
      </c>
      <c r="C128" s="10" t="s">
        <v>78</v>
      </c>
      <c r="D128" s="10" t="s">
        <v>62</v>
      </c>
      <c r="E128" s="10" t="s">
        <v>178</v>
      </c>
      <c r="F128" s="10" t="s">
        <v>199</v>
      </c>
      <c r="G128" s="10" t="s">
        <v>180</v>
      </c>
      <c r="H128" s="10"/>
      <c r="I128" s="7">
        <v>295.0</v>
      </c>
      <c r="J128" s="7">
        <v>295.0</v>
      </c>
      <c r="K128" s="7">
        <v>6906.450000000001</v>
      </c>
    </row>
    <row r="129" ht="15.75" customHeight="1" outlineLevel="3">
      <c r="B129" s="10" t="s">
        <v>124</v>
      </c>
      <c r="C129" s="10" t="s">
        <v>102</v>
      </c>
      <c r="D129" s="10" t="s">
        <v>62</v>
      </c>
      <c r="E129" s="10" t="s">
        <v>86</v>
      </c>
      <c r="F129" s="10" t="s">
        <v>125</v>
      </c>
      <c r="G129" s="10" t="s">
        <v>8</v>
      </c>
      <c r="H129" s="7">
        <v>6906.45</v>
      </c>
      <c r="I129" s="10"/>
      <c r="J129" s="14">
        <v>-6906.45</v>
      </c>
      <c r="K129" s="7">
        <v>9.094947017729282E-13</v>
      </c>
    </row>
    <row r="130" ht="15.75" customHeight="1" outlineLevel="3">
      <c r="B130" s="10" t="s">
        <v>126</v>
      </c>
      <c r="C130" s="10" t="s">
        <v>184</v>
      </c>
      <c r="D130" s="10" t="s">
        <v>62</v>
      </c>
      <c r="E130" s="10" t="s">
        <v>200</v>
      </c>
      <c r="F130" s="10" t="s">
        <v>201</v>
      </c>
      <c r="G130" s="10" t="s">
        <v>202</v>
      </c>
      <c r="H130" s="7">
        <v>70.47</v>
      </c>
      <c r="I130" s="10"/>
      <c r="J130" s="14">
        <v>-70.47</v>
      </c>
      <c r="K130" s="14">
        <v>-70.46999999999909</v>
      </c>
    </row>
    <row r="131" ht="15.75" customHeight="1" outlineLevel="3">
      <c r="B131" s="10" t="s">
        <v>127</v>
      </c>
      <c r="C131" s="10" t="s">
        <v>78</v>
      </c>
      <c r="D131" s="10" t="s">
        <v>62</v>
      </c>
      <c r="E131" s="10" t="s">
        <v>178</v>
      </c>
      <c r="F131" s="10" t="s">
        <v>203</v>
      </c>
      <c r="G131" s="10" t="s">
        <v>180</v>
      </c>
      <c r="H131" s="10"/>
      <c r="I131" s="7">
        <v>309.0</v>
      </c>
      <c r="J131" s="7">
        <v>309.0</v>
      </c>
      <c r="K131" s="7">
        <v>238.5300000000009</v>
      </c>
    </row>
    <row r="132" ht="15.75" customHeight="1" outlineLevel="3">
      <c r="B132" s="10" t="s">
        <v>131</v>
      </c>
      <c r="C132" s="10" t="s">
        <v>78</v>
      </c>
      <c r="D132" s="10" t="s">
        <v>62</v>
      </c>
      <c r="E132" s="10" t="s">
        <v>178</v>
      </c>
      <c r="F132" s="10" t="s">
        <v>204</v>
      </c>
      <c r="G132" s="10" t="s">
        <v>180</v>
      </c>
      <c r="H132" s="10"/>
      <c r="I132" s="7">
        <v>323.0</v>
      </c>
      <c r="J132" s="7">
        <v>323.0</v>
      </c>
      <c r="K132" s="7">
        <v>561.5300000000009</v>
      </c>
    </row>
    <row r="133" ht="15.75" customHeight="1" outlineLevel="3">
      <c r="B133" s="10" t="s">
        <v>131</v>
      </c>
      <c r="C133" s="10" t="s">
        <v>78</v>
      </c>
      <c r="D133" s="10" t="s">
        <v>62</v>
      </c>
      <c r="E133" s="10" t="s">
        <v>105</v>
      </c>
      <c r="F133" s="10" t="s">
        <v>205</v>
      </c>
      <c r="G133" s="10" t="s">
        <v>106</v>
      </c>
      <c r="H133" s="10"/>
      <c r="I133" s="7">
        <v>184.99</v>
      </c>
      <c r="J133" s="7">
        <v>184.99</v>
      </c>
      <c r="K133" s="7">
        <v>746.5200000000009</v>
      </c>
    </row>
    <row r="134" ht="15.75" customHeight="1" outlineLevel="3">
      <c r="B134" s="10" t="s">
        <v>132</v>
      </c>
      <c r="C134" s="10" t="s">
        <v>78</v>
      </c>
      <c r="D134" s="10" t="s">
        <v>62</v>
      </c>
      <c r="E134" s="10" t="s">
        <v>194</v>
      </c>
      <c r="F134" s="10" t="s">
        <v>195</v>
      </c>
      <c r="G134" s="10" t="s">
        <v>183</v>
      </c>
      <c r="H134" s="10"/>
      <c r="I134" s="7">
        <v>723.0</v>
      </c>
      <c r="J134" s="7">
        <v>723.0</v>
      </c>
      <c r="K134" s="7">
        <v>1469.520000000001</v>
      </c>
    </row>
    <row r="135" ht="15.75" customHeight="1" outlineLevel="3">
      <c r="B135" s="10" t="s">
        <v>132</v>
      </c>
      <c r="C135" s="10" t="s">
        <v>78</v>
      </c>
      <c r="D135" s="10" t="s">
        <v>62</v>
      </c>
      <c r="E135" s="10" t="s">
        <v>194</v>
      </c>
      <c r="F135" s="10" t="s">
        <v>195</v>
      </c>
      <c r="G135" s="10" t="s">
        <v>183</v>
      </c>
      <c r="H135" s="10"/>
      <c r="I135" s="7">
        <v>1968.0</v>
      </c>
      <c r="J135" s="7">
        <v>1968.0</v>
      </c>
      <c r="K135" s="7">
        <v>3437.520000000001</v>
      </c>
    </row>
    <row r="136" ht="15.75" customHeight="1" outlineLevel="3">
      <c r="B136" s="10" t="s">
        <v>132</v>
      </c>
      <c r="C136" s="10" t="s">
        <v>78</v>
      </c>
      <c r="D136" s="10" t="s">
        <v>62</v>
      </c>
      <c r="E136" s="10" t="s">
        <v>178</v>
      </c>
      <c r="F136" s="10" t="s">
        <v>206</v>
      </c>
      <c r="G136" s="10" t="s">
        <v>180</v>
      </c>
      <c r="H136" s="10"/>
      <c r="I136" s="7">
        <v>338.0</v>
      </c>
      <c r="J136" s="7">
        <v>338.0</v>
      </c>
      <c r="K136" s="7">
        <v>3775.520000000001</v>
      </c>
    </row>
    <row r="137" ht="15.75" customHeight="1" outlineLevel="3">
      <c r="B137" s="10" t="s">
        <v>137</v>
      </c>
      <c r="C137" s="10" t="s">
        <v>78</v>
      </c>
      <c r="D137" s="10" t="s">
        <v>62</v>
      </c>
      <c r="E137" s="10" t="s">
        <v>207</v>
      </c>
      <c r="F137" s="10" t="s">
        <v>208</v>
      </c>
      <c r="G137" s="10" t="s">
        <v>180</v>
      </c>
      <c r="H137" s="10"/>
      <c r="I137" s="7">
        <v>2.99</v>
      </c>
      <c r="J137" s="7">
        <v>2.99</v>
      </c>
      <c r="K137" s="7">
        <v>3778.5100000000007</v>
      </c>
    </row>
    <row r="138" ht="15.75" customHeight="1" outlineLevel="3">
      <c r="B138" s="10" t="s">
        <v>142</v>
      </c>
      <c r="C138" s="10" t="s">
        <v>78</v>
      </c>
      <c r="D138" s="10" t="s">
        <v>62</v>
      </c>
      <c r="E138" s="10" t="s">
        <v>178</v>
      </c>
      <c r="F138" s="10" t="s">
        <v>209</v>
      </c>
      <c r="G138" s="10" t="s">
        <v>180</v>
      </c>
      <c r="H138" s="10"/>
      <c r="I138" s="7">
        <v>353.0</v>
      </c>
      <c r="J138" s="7">
        <v>353.0</v>
      </c>
      <c r="K138" s="7">
        <v>4131.51</v>
      </c>
    </row>
    <row r="139" ht="15.75" customHeight="1" outlineLevel="3">
      <c r="B139" s="10" t="s">
        <v>210</v>
      </c>
      <c r="C139" s="10" t="s">
        <v>78</v>
      </c>
      <c r="D139" s="10" t="s">
        <v>62</v>
      </c>
      <c r="E139" s="10" t="s">
        <v>211</v>
      </c>
      <c r="F139" s="10" t="s">
        <v>212</v>
      </c>
      <c r="G139" s="10" t="s">
        <v>95</v>
      </c>
      <c r="H139" s="10"/>
      <c r="I139" s="7">
        <v>103.34</v>
      </c>
      <c r="J139" s="7">
        <v>103.34</v>
      </c>
      <c r="K139" s="7">
        <v>4234.85</v>
      </c>
    </row>
    <row r="140" ht="15.75" customHeight="1" outlineLevel="3">
      <c r="B140" s="10" t="s">
        <v>143</v>
      </c>
      <c r="C140" s="10" t="s">
        <v>78</v>
      </c>
      <c r="D140" s="10" t="s">
        <v>62</v>
      </c>
      <c r="E140" s="10" t="s">
        <v>178</v>
      </c>
      <c r="F140" s="10" t="s">
        <v>213</v>
      </c>
      <c r="G140" s="10" t="s">
        <v>180</v>
      </c>
      <c r="H140" s="10"/>
      <c r="I140" s="7">
        <v>140.68</v>
      </c>
      <c r="J140" s="7">
        <v>140.68</v>
      </c>
      <c r="K140" s="7">
        <v>4375.530000000001</v>
      </c>
    </row>
    <row r="141" ht="15.75" customHeight="1" outlineLevel="3">
      <c r="B141" s="10" t="s">
        <v>151</v>
      </c>
      <c r="C141" s="10" t="s">
        <v>78</v>
      </c>
      <c r="D141" s="10" t="s">
        <v>62</v>
      </c>
      <c r="E141" s="10" t="s">
        <v>178</v>
      </c>
      <c r="F141" s="10" t="s">
        <v>214</v>
      </c>
      <c r="G141" s="10" t="s">
        <v>180</v>
      </c>
      <c r="H141" s="10"/>
      <c r="I141" s="7">
        <v>369.0</v>
      </c>
      <c r="J141" s="7">
        <v>369.0</v>
      </c>
      <c r="K141" s="7">
        <v>4744.530000000001</v>
      </c>
    </row>
    <row r="142" ht="15.75" customHeight="1" outlineLevel="2">
      <c r="A142" s="15" t="s">
        <v>215</v>
      </c>
      <c r="B142" s="4"/>
      <c r="C142" s="4"/>
      <c r="D142" s="4"/>
      <c r="E142" s="4"/>
      <c r="F142" s="4"/>
      <c r="G142" s="4"/>
      <c r="H142" s="4"/>
      <c r="I142" s="4"/>
      <c r="J142" s="9">
        <f>J115+J116+J117+J118+J119+J120+J121+J122+J123+J124+J125+J126+J127+J128+J129+J130+J131+J132+J133+J134+J135+J136+J137+J138+J139+J140+J141</f>
        <v>1700.34</v>
      </c>
      <c r="K142" s="4"/>
    </row>
    <row r="143" ht="15.75" customHeight="1" outlineLevel="2">
      <c r="A143" s="13" t="s">
        <v>34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 outlineLevel="3">
      <c r="B144" s="10" t="s">
        <v>73</v>
      </c>
      <c r="C144" s="4"/>
      <c r="D144" s="4"/>
      <c r="E144" s="4"/>
      <c r="F144" s="4"/>
      <c r="G144" s="4"/>
      <c r="H144" s="4"/>
      <c r="I144" s="4"/>
      <c r="J144" s="4"/>
      <c r="K144" s="7">
        <v>10593.6</v>
      </c>
    </row>
    <row r="145" ht="15.75" customHeight="1" outlineLevel="3">
      <c r="B145" s="10" t="s">
        <v>74</v>
      </c>
      <c r="C145" s="10" t="s">
        <v>78</v>
      </c>
      <c r="D145" s="10" t="s">
        <v>62</v>
      </c>
      <c r="E145" s="10" t="s">
        <v>216</v>
      </c>
      <c r="F145" s="10" t="s">
        <v>217</v>
      </c>
      <c r="G145" s="10" t="s">
        <v>218</v>
      </c>
      <c r="H145" s="10"/>
      <c r="I145" s="7">
        <v>50.0</v>
      </c>
      <c r="J145" s="7">
        <v>50.0</v>
      </c>
      <c r="K145" s="7">
        <v>10643.6</v>
      </c>
    </row>
    <row r="146" ht="15.75" customHeight="1" outlineLevel="3">
      <c r="B146" s="10" t="s">
        <v>74</v>
      </c>
      <c r="C146" s="10" t="s">
        <v>78</v>
      </c>
      <c r="D146" s="10" t="s">
        <v>62</v>
      </c>
      <c r="E146" s="10" t="s">
        <v>216</v>
      </c>
      <c r="F146" s="10" t="s">
        <v>217</v>
      </c>
      <c r="G146" s="10" t="s">
        <v>218</v>
      </c>
      <c r="H146" s="10"/>
      <c r="I146" s="7">
        <v>50.09</v>
      </c>
      <c r="J146" s="7">
        <v>50.09</v>
      </c>
      <c r="K146" s="7">
        <v>10693.69</v>
      </c>
    </row>
    <row r="147" ht="15.75" customHeight="1" outlineLevel="3">
      <c r="B147" s="10" t="s">
        <v>74</v>
      </c>
      <c r="C147" s="10" t="s">
        <v>78</v>
      </c>
      <c r="D147" s="10" t="s">
        <v>62</v>
      </c>
      <c r="E147" s="10" t="s">
        <v>219</v>
      </c>
      <c r="F147" s="10" t="s">
        <v>220</v>
      </c>
      <c r="G147" s="10" t="s">
        <v>221</v>
      </c>
      <c r="H147" s="10"/>
      <c r="I147" s="7">
        <v>35.0</v>
      </c>
      <c r="J147" s="7">
        <v>35.0</v>
      </c>
      <c r="K147" s="7">
        <v>10728.69</v>
      </c>
    </row>
    <row r="148" ht="15.75" customHeight="1" outlineLevel="3">
      <c r="B148" s="10" t="s">
        <v>74</v>
      </c>
      <c r="C148" s="10" t="s">
        <v>78</v>
      </c>
      <c r="D148" s="10" t="s">
        <v>62</v>
      </c>
      <c r="E148" s="10" t="s">
        <v>222</v>
      </c>
      <c r="F148" s="10" t="s">
        <v>223</v>
      </c>
      <c r="G148" s="10" t="s">
        <v>224</v>
      </c>
      <c r="H148" s="10"/>
      <c r="I148" s="7">
        <v>1279.34</v>
      </c>
      <c r="J148" s="7">
        <v>1279.34</v>
      </c>
      <c r="K148" s="7">
        <v>12008.03</v>
      </c>
    </row>
    <row r="149" ht="15.75" customHeight="1" outlineLevel="3">
      <c r="B149" s="10" t="s">
        <v>74</v>
      </c>
      <c r="C149" s="10" t="s">
        <v>78</v>
      </c>
      <c r="D149" s="10" t="s">
        <v>62</v>
      </c>
      <c r="E149" s="10" t="s">
        <v>207</v>
      </c>
      <c r="F149" s="10" t="s">
        <v>225</v>
      </c>
      <c r="G149" s="10" t="s">
        <v>180</v>
      </c>
      <c r="H149" s="10"/>
      <c r="I149" s="7">
        <v>65.12</v>
      </c>
      <c r="J149" s="7">
        <v>65.12</v>
      </c>
      <c r="K149" s="7">
        <v>12073.150000000001</v>
      </c>
    </row>
    <row r="150" ht="15.75" customHeight="1" outlineLevel="3">
      <c r="B150" s="10" t="s">
        <v>88</v>
      </c>
      <c r="C150" s="10" t="s">
        <v>78</v>
      </c>
      <c r="D150" s="10" t="s">
        <v>62</v>
      </c>
      <c r="E150" s="10" t="s">
        <v>226</v>
      </c>
      <c r="F150" s="10" t="s">
        <v>227</v>
      </c>
      <c r="G150" s="10" t="s">
        <v>228</v>
      </c>
      <c r="H150" s="10"/>
      <c r="I150" s="7">
        <v>228.88</v>
      </c>
      <c r="J150" s="7">
        <v>228.88</v>
      </c>
      <c r="K150" s="7">
        <v>12302.03</v>
      </c>
    </row>
    <row r="151" ht="15.75" customHeight="1" outlineLevel="3">
      <c r="B151" s="10" t="s">
        <v>88</v>
      </c>
      <c r="C151" s="10" t="s">
        <v>78</v>
      </c>
      <c r="D151" s="10" t="s">
        <v>62</v>
      </c>
      <c r="E151" s="10" t="s">
        <v>178</v>
      </c>
      <c r="F151" s="10" t="s">
        <v>229</v>
      </c>
      <c r="G151" s="10" t="s">
        <v>180</v>
      </c>
      <c r="H151" s="10"/>
      <c r="I151" s="7">
        <v>43.72</v>
      </c>
      <c r="J151" s="7">
        <v>43.72</v>
      </c>
      <c r="K151" s="7">
        <v>12345.75</v>
      </c>
    </row>
    <row r="152" ht="15.75" customHeight="1" outlineLevel="3">
      <c r="B152" s="10" t="s">
        <v>96</v>
      </c>
      <c r="C152" s="10" t="s">
        <v>78</v>
      </c>
      <c r="D152" s="10" t="s">
        <v>62</v>
      </c>
      <c r="E152" s="10" t="s">
        <v>230</v>
      </c>
      <c r="F152" s="10" t="s">
        <v>231</v>
      </c>
      <c r="G152" s="10" t="s">
        <v>218</v>
      </c>
      <c r="H152" s="10"/>
      <c r="I152" s="7">
        <v>70.0</v>
      </c>
      <c r="J152" s="7">
        <v>70.0</v>
      </c>
      <c r="K152" s="7">
        <v>12415.75</v>
      </c>
    </row>
    <row r="153" ht="15.75" customHeight="1" outlineLevel="3">
      <c r="B153" s="10" t="s">
        <v>96</v>
      </c>
      <c r="C153" s="10" t="s">
        <v>78</v>
      </c>
      <c r="D153" s="10" t="s">
        <v>62</v>
      </c>
      <c r="E153" s="10" t="s">
        <v>232</v>
      </c>
      <c r="F153" s="10" t="s">
        <v>233</v>
      </c>
      <c r="G153" s="10" t="s">
        <v>183</v>
      </c>
      <c r="H153" s="10"/>
      <c r="I153" s="7">
        <v>92.95</v>
      </c>
      <c r="J153" s="7">
        <v>92.95</v>
      </c>
      <c r="K153" s="7">
        <v>12508.7</v>
      </c>
    </row>
    <row r="154" ht="15.75" customHeight="1" outlineLevel="3">
      <c r="B154" s="10" t="s">
        <v>97</v>
      </c>
      <c r="C154" s="10" t="s">
        <v>78</v>
      </c>
      <c r="D154" s="10" t="s">
        <v>62</v>
      </c>
      <c r="E154" s="10" t="s">
        <v>234</v>
      </c>
      <c r="F154" s="10" t="s">
        <v>235</v>
      </c>
      <c r="G154" s="10" t="s">
        <v>224</v>
      </c>
      <c r="H154" s="10"/>
      <c r="I154" s="7">
        <v>32.31</v>
      </c>
      <c r="J154" s="7">
        <v>32.31</v>
      </c>
      <c r="K154" s="7">
        <v>12541.01</v>
      </c>
    </row>
    <row r="155" ht="15.75" customHeight="1" outlineLevel="3">
      <c r="B155" s="10" t="s">
        <v>97</v>
      </c>
      <c r="C155" s="10" t="s">
        <v>78</v>
      </c>
      <c r="D155" s="10" t="s">
        <v>62</v>
      </c>
      <c r="E155" s="10" t="s">
        <v>234</v>
      </c>
      <c r="F155" s="10" t="s">
        <v>236</v>
      </c>
      <c r="G155" s="10" t="s">
        <v>224</v>
      </c>
      <c r="H155" s="10"/>
      <c r="I155" s="7">
        <v>10.34</v>
      </c>
      <c r="J155" s="7">
        <v>10.34</v>
      </c>
      <c r="K155" s="7">
        <v>12551.35</v>
      </c>
    </row>
    <row r="156" ht="15.75" customHeight="1" outlineLevel="3">
      <c r="B156" s="10" t="s">
        <v>97</v>
      </c>
      <c r="C156" s="10" t="s">
        <v>78</v>
      </c>
      <c r="D156" s="10" t="s">
        <v>62</v>
      </c>
      <c r="E156" s="10" t="s">
        <v>178</v>
      </c>
      <c r="F156" s="10" t="s">
        <v>237</v>
      </c>
      <c r="G156" s="10" t="s">
        <v>180</v>
      </c>
      <c r="H156" s="10"/>
      <c r="I156" s="7">
        <v>30.0</v>
      </c>
      <c r="J156" s="7">
        <v>30.0</v>
      </c>
      <c r="K156" s="7">
        <v>12581.35</v>
      </c>
    </row>
    <row r="157" ht="15.75" customHeight="1" outlineLevel="3">
      <c r="B157" s="10" t="s">
        <v>97</v>
      </c>
      <c r="C157" s="10" t="s">
        <v>102</v>
      </c>
      <c r="D157" s="10" t="s">
        <v>62</v>
      </c>
      <c r="E157" s="10" t="s">
        <v>62</v>
      </c>
      <c r="F157" s="10" t="s">
        <v>103</v>
      </c>
      <c r="G157" s="10" t="s">
        <v>8</v>
      </c>
      <c r="H157" s="7">
        <v>12421.56</v>
      </c>
      <c r="I157" s="10"/>
      <c r="J157" s="14">
        <v>-12421.56</v>
      </c>
      <c r="K157" s="7">
        <v>159.79000000000087</v>
      </c>
    </row>
    <row r="158" ht="15.75" customHeight="1" outlineLevel="3">
      <c r="B158" s="10" t="s">
        <v>97</v>
      </c>
      <c r="C158" s="10" t="s">
        <v>78</v>
      </c>
      <c r="D158" s="10" t="s">
        <v>62</v>
      </c>
      <c r="E158" s="10" t="s">
        <v>238</v>
      </c>
      <c r="F158" s="10" t="s">
        <v>239</v>
      </c>
      <c r="G158" s="10" t="s">
        <v>95</v>
      </c>
      <c r="H158" s="10"/>
      <c r="I158" s="7">
        <v>38.0</v>
      </c>
      <c r="J158" s="7">
        <v>38.0</v>
      </c>
      <c r="K158" s="7">
        <v>197.79000000000087</v>
      </c>
    </row>
    <row r="159" ht="15.75" customHeight="1" outlineLevel="3">
      <c r="B159" s="10" t="s">
        <v>104</v>
      </c>
      <c r="C159" s="10" t="s">
        <v>78</v>
      </c>
      <c r="D159" s="10" t="s">
        <v>62</v>
      </c>
      <c r="E159" s="10" t="s">
        <v>234</v>
      </c>
      <c r="F159" s="10" t="s">
        <v>236</v>
      </c>
      <c r="G159" s="10" t="s">
        <v>224</v>
      </c>
      <c r="H159" s="10"/>
      <c r="I159" s="7">
        <v>10.34</v>
      </c>
      <c r="J159" s="7">
        <v>10.34</v>
      </c>
      <c r="K159" s="7">
        <v>208.13000000000088</v>
      </c>
    </row>
    <row r="160" ht="15.75" customHeight="1" outlineLevel="3">
      <c r="B160" s="10" t="s">
        <v>104</v>
      </c>
      <c r="C160" s="10" t="s">
        <v>78</v>
      </c>
      <c r="D160" s="10" t="s">
        <v>62</v>
      </c>
      <c r="E160" s="10" t="s">
        <v>240</v>
      </c>
      <c r="F160" s="10" t="s">
        <v>241</v>
      </c>
      <c r="G160" s="10" t="s">
        <v>224</v>
      </c>
      <c r="H160" s="10"/>
      <c r="I160" s="7">
        <v>273.0</v>
      </c>
      <c r="J160" s="7">
        <v>273.0</v>
      </c>
      <c r="K160" s="7">
        <v>481.1300000000009</v>
      </c>
    </row>
    <row r="161" ht="15.75" customHeight="1" outlineLevel="3">
      <c r="B161" s="10" t="s">
        <v>104</v>
      </c>
      <c r="C161" s="10" t="s">
        <v>78</v>
      </c>
      <c r="D161" s="10" t="s">
        <v>62</v>
      </c>
      <c r="E161" s="10" t="s">
        <v>242</v>
      </c>
      <c r="F161" s="10" t="s">
        <v>243</v>
      </c>
      <c r="G161" s="10" t="s">
        <v>183</v>
      </c>
      <c r="H161" s="10"/>
      <c r="I161" s="7">
        <v>2270.94</v>
      </c>
      <c r="J161" s="7">
        <v>2270.94</v>
      </c>
      <c r="K161" s="7">
        <v>2752.070000000001</v>
      </c>
    </row>
    <row r="162" ht="15.75" customHeight="1" outlineLevel="3">
      <c r="B162" s="10" t="s">
        <v>104</v>
      </c>
      <c r="C162" s="10" t="s">
        <v>78</v>
      </c>
      <c r="D162" s="10" t="s">
        <v>62</v>
      </c>
      <c r="E162" s="10" t="s">
        <v>207</v>
      </c>
      <c r="F162" s="10" t="s">
        <v>244</v>
      </c>
      <c r="G162" s="10" t="s">
        <v>180</v>
      </c>
      <c r="H162" s="10"/>
      <c r="I162" s="7">
        <v>14.99</v>
      </c>
      <c r="J162" s="7">
        <v>14.99</v>
      </c>
      <c r="K162" s="7">
        <v>2767.060000000001</v>
      </c>
    </row>
    <row r="163" ht="15.75" customHeight="1" outlineLevel="3">
      <c r="B163" s="10" t="s">
        <v>245</v>
      </c>
      <c r="C163" s="10" t="s">
        <v>78</v>
      </c>
      <c r="D163" s="10" t="s">
        <v>62</v>
      </c>
      <c r="E163" s="10" t="s">
        <v>234</v>
      </c>
      <c r="F163" s="10" t="s">
        <v>246</v>
      </c>
      <c r="G163" s="10" t="s">
        <v>224</v>
      </c>
      <c r="H163" s="10"/>
      <c r="I163" s="7">
        <v>16.32</v>
      </c>
      <c r="J163" s="7">
        <v>16.32</v>
      </c>
      <c r="K163" s="7">
        <v>2783.380000000001</v>
      </c>
    </row>
    <row r="164" ht="15.75" customHeight="1" outlineLevel="3">
      <c r="B164" s="10" t="s">
        <v>245</v>
      </c>
      <c r="C164" s="10" t="s">
        <v>78</v>
      </c>
      <c r="D164" s="10" t="s">
        <v>62</v>
      </c>
      <c r="E164" s="10" t="s">
        <v>247</v>
      </c>
      <c r="F164" s="10" t="s">
        <v>248</v>
      </c>
      <c r="G164" s="10" t="s">
        <v>95</v>
      </c>
      <c r="H164" s="10"/>
      <c r="I164" s="7">
        <v>1.99</v>
      </c>
      <c r="J164" s="7">
        <v>1.99</v>
      </c>
      <c r="K164" s="7">
        <v>2785.370000000001</v>
      </c>
    </row>
    <row r="165" ht="15.75" customHeight="1" outlineLevel="3">
      <c r="B165" s="10" t="s">
        <v>245</v>
      </c>
      <c r="C165" s="10" t="s">
        <v>78</v>
      </c>
      <c r="D165" s="10" t="s">
        <v>62</v>
      </c>
      <c r="E165" s="10" t="s">
        <v>207</v>
      </c>
      <c r="F165" s="10" t="s">
        <v>249</v>
      </c>
      <c r="G165" s="10" t="s">
        <v>180</v>
      </c>
      <c r="H165" s="10"/>
      <c r="I165" s="7">
        <v>13.99</v>
      </c>
      <c r="J165" s="7">
        <v>13.99</v>
      </c>
      <c r="K165" s="7">
        <v>2799.3600000000006</v>
      </c>
    </row>
    <row r="166" ht="15.75" customHeight="1" outlineLevel="3">
      <c r="B166" s="10" t="s">
        <v>193</v>
      </c>
      <c r="C166" s="10" t="s">
        <v>78</v>
      </c>
      <c r="D166" s="10" t="s">
        <v>62</v>
      </c>
      <c r="E166" s="10" t="s">
        <v>234</v>
      </c>
      <c r="F166" s="10" t="s">
        <v>235</v>
      </c>
      <c r="G166" s="10" t="s">
        <v>224</v>
      </c>
      <c r="H166" s="10"/>
      <c r="I166" s="7">
        <v>71.61</v>
      </c>
      <c r="J166" s="7">
        <v>71.61</v>
      </c>
      <c r="K166" s="7">
        <v>2870.9700000000007</v>
      </c>
    </row>
    <row r="167" ht="15.75" customHeight="1" outlineLevel="3">
      <c r="B167" s="10" t="s">
        <v>193</v>
      </c>
      <c r="C167" s="10" t="s">
        <v>78</v>
      </c>
      <c r="D167" s="10" t="s">
        <v>62</v>
      </c>
      <c r="E167" s="10" t="s">
        <v>234</v>
      </c>
      <c r="F167" s="10" t="s">
        <v>236</v>
      </c>
      <c r="G167" s="10" t="s">
        <v>224</v>
      </c>
      <c r="H167" s="10"/>
      <c r="I167" s="7">
        <v>7.43</v>
      </c>
      <c r="J167" s="7">
        <v>7.43</v>
      </c>
      <c r="K167" s="7">
        <v>2878.4000000000005</v>
      </c>
    </row>
    <row r="168" ht="15.75" customHeight="1" outlineLevel="3">
      <c r="B168" s="10" t="s">
        <v>193</v>
      </c>
      <c r="C168" s="10" t="s">
        <v>78</v>
      </c>
      <c r="D168" s="10" t="s">
        <v>62</v>
      </c>
      <c r="E168" s="10" t="s">
        <v>178</v>
      </c>
      <c r="F168" s="10" t="s">
        <v>250</v>
      </c>
      <c r="G168" s="10" t="s">
        <v>180</v>
      </c>
      <c r="H168" s="10"/>
      <c r="I168" s="7">
        <v>0.04</v>
      </c>
      <c r="J168" s="7">
        <v>0.04</v>
      </c>
      <c r="K168" s="7">
        <v>2878.4400000000005</v>
      </c>
    </row>
    <row r="169" ht="15.75" customHeight="1" outlineLevel="3">
      <c r="B169" s="10" t="s">
        <v>193</v>
      </c>
      <c r="C169" s="10" t="s">
        <v>78</v>
      </c>
      <c r="D169" s="10" t="s">
        <v>62</v>
      </c>
      <c r="E169" s="10" t="s">
        <v>178</v>
      </c>
      <c r="F169" s="10" t="s">
        <v>251</v>
      </c>
      <c r="G169" s="10" t="s">
        <v>180</v>
      </c>
      <c r="H169" s="10"/>
      <c r="I169" s="7">
        <v>35.35</v>
      </c>
      <c r="J169" s="7">
        <v>35.35</v>
      </c>
      <c r="K169" s="7">
        <v>2913.7900000000004</v>
      </c>
    </row>
    <row r="170" ht="15.75" customHeight="1" outlineLevel="3">
      <c r="B170" s="10" t="s">
        <v>113</v>
      </c>
      <c r="C170" s="10" t="s">
        <v>78</v>
      </c>
      <c r="D170" s="10" t="s">
        <v>62</v>
      </c>
      <c r="E170" s="10" t="s">
        <v>234</v>
      </c>
      <c r="F170" s="10" t="s">
        <v>235</v>
      </c>
      <c r="G170" s="10" t="s">
        <v>224</v>
      </c>
      <c r="H170" s="10"/>
      <c r="I170" s="7">
        <v>15.07</v>
      </c>
      <c r="J170" s="7">
        <v>15.07</v>
      </c>
      <c r="K170" s="7">
        <v>2928.8600000000006</v>
      </c>
    </row>
    <row r="171" ht="15.75" customHeight="1" outlineLevel="3">
      <c r="B171" s="10" t="s">
        <v>113</v>
      </c>
      <c r="C171" s="10" t="s">
        <v>78</v>
      </c>
      <c r="D171" s="10" t="s">
        <v>62</v>
      </c>
      <c r="E171" s="10" t="s">
        <v>234</v>
      </c>
      <c r="F171" s="10" t="s">
        <v>236</v>
      </c>
      <c r="G171" s="10" t="s">
        <v>224</v>
      </c>
      <c r="H171" s="10"/>
      <c r="I171" s="7">
        <v>19.82</v>
      </c>
      <c r="J171" s="7">
        <v>19.82</v>
      </c>
      <c r="K171" s="7">
        <v>2948.6800000000007</v>
      </c>
    </row>
    <row r="172" ht="15.75" customHeight="1" outlineLevel="3">
      <c r="B172" s="10" t="s">
        <v>113</v>
      </c>
      <c r="C172" s="10" t="s">
        <v>78</v>
      </c>
      <c r="D172" s="10" t="s">
        <v>62</v>
      </c>
      <c r="E172" s="10" t="s">
        <v>234</v>
      </c>
      <c r="F172" s="10" t="s">
        <v>236</v>
      </c>
      <c r="G172" s="10" t="s">
        <v>224</v>
      </c>
      <c r="H172" s="10"/>
      <c r="I172" s="7">
        <v>15.54</v>
      </c>
      <c r="J172" s="7">
        <v>15.54</v>
      </c>
      <c r="K172" s="7">
        <v>2964.2200000000007</v>
      </c>
    </row>
    <row r="173" ht="15.75" customHeight="1" outlineLevel="3">
      <c r="B173" s="10" t="s">
        <v>113</v>
      </c>
      <c r="C173" s="10" t="s">
        <v>78</v>
      </c>
      <c r="D173" s="10" t="s">
        <v>62</v>
      </c>
      <c r="E173" s="10" t="s">
        <v>252</v>
      </c>
      <c r="F173" s="10" t="s">
        <v>253</v>
      </c>
      <c r="G173" s="10" t="s">
        <v>254</v>
      </c>
      <c r="H173" s="10"/>
      <c r="I173" s="7">
        <v>15.07</v>
      </c>
      <c r="J173" s="7">
        <v>15.07</v>
      </c>
      <c r="K173" s="7">
        <v>2979.290000000001</v>
      </c>
    </row>
    <row r="174" ht="15.75" customHeight="1" outlineLevel="3">
      <c r="B174" s="10" t="s">
        <v>113</v>
      </c>
      <c r="C174" s="10" t="s">
        <v>78</v>
      </c>
      <c r="D174" s="10" t="s">
        <v>62</v>
      </c>
      <c r="E174" s="10" t="s">
        <v>255</v>
      </c>
      <c r="F174" s="10" t="s">
        <v>256</v>
      </c>
      <c r="G174" s="10" t="s">
        <v>257</v>
      </c>
      <c r="H174" s="10"/>
      <c r="I174" s="7">
        <v>92.23</v>
      </c>
      <c r="J174" s="7">
        <v>92.23</v>
      </c>
      <c r="K174" s="7">
        <v>3071.520000000001</v>
      </c>
    </row>
    <row r="175" ht="15.75" customHeight="1" outlineLevel="3">
      <c r="B175" s="10" t="s">
        <v>116</v>
      </c>
      <c r="C175" s="10" t="s">
        <v>78</v>
      </c>
      <c r="D175" s="10" t="s">
        <v>62</v>
      </c>
      <c r="E175" s="10" t="s">
        <v>258</v>
      </c>
      <c r="F175" s="10" t="s">
        <v>259</v>
      </c>
      <c r="G175" s="10" t="s">
        <v>183</v>
      </c>
      <c r="H175" s="10"/>
      <c r="I175" s="7">
        <v>1739.0</v>
      </c>
      <c r="J175" s="7">
        <v>1739.0</v>
      </c>
      <c r="K175" s="7">
        <v>4810.52</v>
      </c>
    </row>
    <row r="176" ht="15.75" customHeight="1" outlineLevel="3">
      <c r="B176" s="10" t="s">
        <v>116</v>
      </c>
      <c r="C176" s="10" t="s">
        <v>78</v>
      </c>
      <c r="D176" s="10" t="s">
        <v>62</v>
      </c>
      <c r="E176" s="10" t="s">
        <v>260</v>
      </c>
      <c r="F176" s="10" t="s">
        <v>261</v>
      </c>
      <c r="G176" s="10" t="s">
        <v>183</v>
      </c>
      <c r="H176" s="10"/>
      <c r="I176" s="7">
        <v>306.05</v>
      </c>
      <c r="J176" s="7">
        <v>306.05</v>
      </c>
      <c r="K176" s="7">
        <v>5116.570000000001</v>
      </c>
    </row>
    <row r="177" ht="15.75" customHeight="1" outlineLevel="3">
      <c r="B177" s="10" t="s">
        <v>120</v>
      </c>
      <c r="C177" s="10" t="s">
        <v>78</v>
      </c>
      <c r="D177" s="10" t="s">
        <v>62</v>
      </c>
      <c r="E177" s="10" t="s">
        <v>178</v>
      </c>
      <c r="F177" s="10" t="s">
        <v>262</v>
      </c>
      <c r="G177" s="10" t="s">
        <v>180</v>
      </c>
      <c r="H177" s="10"/>
      <c r="I177" s="7">
        <v>30.17</v>
      </c>
      <c r="J177" s="7">
        <v>30.17</v>
      </c>
      <c r="K177" s="7">
        <v>5146.740000000001</v>
      </c>
    </row>
    <row r="178" ht="15.75" customHeight="1" outlineLevel="3">
      <c r="B178" s="10" t="s">
        <v>120</v>
      </c>
      <c r="C178" s="10" t="s">
        <v>78</v>
      </c>
      <c r="D178" s="10" t="s">
        <v>62</v>
      </c>
      <c r="E178" s="10" t="s">
        <v>263</v>
      </c>
      <c r="F178" s="10" t="s">
        <v>264</v>
      </c>
      <c r="G178" s="10" t="s">
        <v>183</v>
      </c>
      <c r="H178" s="10"/>
      <c r="I178" s="7">
        <v>1080.56</v>
      </c>
      <c r="J178" s="7">
        <v>1080.56</v>
      </c>
      <c r="K178" s="7">
        <v>6227.300000000001</v>
      </c>
    </row>
    <row r="179" ht="15.75" customHeight="1" outlineLevel="3">
      <c r="B179" s="10" t="s">
        <v>120</v>
      </c>
      <c r="C179" s="10" t="s">
        <v>78</v>
      </c>
      <c r="D179" s="10" t="s">
        <v>62</v>
      </c>
      <c r="E179" s="10" t="s">
        <v>232</v>
      </c>
      <c r="F179" s="10" t="s">
        <v>265</v>
      </c>
      <c r="G179" s="10" t="s">
        <v>183</v>
      </c>
      <c r="H179" s="10"/>
      <c r="I179" s="7">
        <v>653.95</v>
      </c>
      <c r="J179" s="7">
        <v>653.95</v>
      </c>
      <c r="K179" s="7">
        <v>6881.250000000001</v>
      </c>
    </row>
    <row r="180" ht="15.75" customHeight="1" outlineLevel="3">
      <c r="B180" s="10" t="s">
        <v>120</v>
      </c>
      <c r="C180" s="10" t="s">
        <v>78</v>
      </c>
      <c r="D180" s="10" t="s">
        <v>62</v>
      </c>
      <c r="E180" s="10" t="s">
        <v>242</v>
      </c>
      <c r="F180" s="10" t="s">
        <v>243</v>
      </c>
      <c r="G180" s="10" t="s">
        <v>183</v>
      </c>
      <c r="H180" s="10"/>
      <c r="I180" s="7">
        <v>165.05</v>
      </c>
      <c r="J180" s="7">
        <v>165.05</v>
      </c>
      <c r="K180" s="7">
        <v>7046.300000000001</v>
      </c>
    </row>
    <row r="181" ht="15.75" customHeight="1" outlineLevel="3">
      <c r="B181" s="10" t="s">
        <v>122</v>
      </c>
      <c r="C181" s="10" t="s">
        <v>78</v>
      </c>
      <c r="D181" s="10" t="s">
        <v>62</v>
      </c>
      <c r="E181" s="10" t="s">
        <v>216</v>
      </c>
      <c r="F181" s="10" t="s">
        <v>217</v>
      </c>
      <c r="G181" s="10" t="s">
        <v>218</v>
      </c>
      <c r="H181" s="10"/>
      <c r="I181" s="7">
        <v>50.0</v>
      </c>
      <c r="J181" s="7">
        <v>50.0</v>
      </c>
      <c r="K181" s="7">
        <v>7096.300000000001</v>
      </c>
    </row>
    <row r="182" ht="15.75" customHeight="1" outlineLevel="3">
      <c r="B182" s="10" t="s">
        <v>122</v>
      </c>
      <c r="C182" s="10" t="s">
        <v>78</v>
      </c>
      <c r="D182" s="10" t="s">
        <v>62</v>
      </c>
      <c r="E182" s="10" t="s">
        <v>178</v>
      </c>
      <c r="F182" s="10" t="s">
        <v>266</v>
      </c>
      <c r="G182" s="10" t="s">
        <v>180</v>
      </c>
      <c r="H182" s="10"/>
      <c r="I182" s="7">
        <v>11.12</v>
      </c>
      <c r="J182" s="7">
        <v>11.12</v>
      </c>
      <c r="K182" s="7">
        <v>7107.420000000001</v>
      </c>
    </row>
    <row r="183" ht="15.75" customHeight="1" outlineLevel="3">
      <c r="B183" s="10" t="s">
        <v>122</v>
      </c>
      <c r="C183" s="10" t="s">
        <v>78</v>
      </c>
      <c r="D183" s="10" t="s">
        <v>62</v>
      </c>
      <c r="E183" s="10" t="s">
        <v>178</v>
      </c>
      <c r="F183" s="10" t="s">
        <v>267</v>
      </c>
      <c r="G183" s="10" t="s">
        <v>180</v>
      </c>
      <c r="H183" s="10"/>
      <c r="I183" s="7">
        <v>36.41</v>
      </c>
      <c r="J183" s="7">
        <v>36.41</v>
      </c>
      <c r="K183" s="7">
        <v>7143.830000000001</v>
      </c>
    </row>
    <row r="184" ht="15.75" customHeight="1" outlineLevel="3">
      <c r="B184" s="10" t="s">
        <v>123</v>
      </c>
      <c r="C184" s="10" t="s">
        <v>78</v>
      </c>
      <c r="D184" s="10" t="s">
        <v>62</v>
      </c>
      <c r="E184" s="10" t="s">
        <v>234</v>
      </c>
      <c r="F184" s="10" t="s">
        <v>235</v>
      </c>
      <c r="G184" s="10" t="s">
        <v>224</v>
      </c>
      <c r="H184" s="10"/>
      <c r="I184" s="7">
        <v>74.35</v>
      </c>
      <c r="J184" s="7">
        <v>74.35</v>
      </c>
      <c r="K184" s="7">
        <v>7218.180000000001</v>
      </c>
    </row>
    <row r="185" ht="15.75" customHeight="1" outlineLevel="3">
      <c r="B185" s="10" t="s">
        <v>123</v>
      </c>
      <c r="C185" s="10" t="s">
        <v>78</v>
      </c>
      <c r="D185" s="10" t="s">
        <v>62</v>
      </c>
      <c r="E185" s="10" t="s">
        <v>234</v>
      </c>
      <c r="F185" s="10" t="s">
        <v>236</v>
      </c>
      <c r="G185" s="10" t="s">
        <v>224</v>
      </c>
      <c r="H185" s="10"/>
      <c r="I185" s="7">
        <v>29.09</v>
      </c>
      <c r="J185" s="7">
        <v>29.09</v>
      </c>
      <c r="K185" s="7">
        <v>7247.270000000001</v>
      </c>
    </row>
    <row r="186" ht="15.75" customHeight="1" outlineLevel="3">
      <c r="B186" s="10" t="s">
        <v>123</v>
      </c>
      <c r="C186" s="10" t="s">
        <v>78</v>
      </c>
      <c r="D186" s="10" t="s">
        <v>62</v>
      </c>
      <c r="E186" s="10" t="s">
        <v>234</v>
      </c>
      <c r="F186" s="10" t="s">
        <v>236</v>
      </c>
      <c r="G186" s="10" t="s">
        <v>224</v>
      </c>
      <c r="H186" s="10"/>
      <c r="I186" s="7">
        <v>60.34</v>
      </c>
      <c r="J186" s="7">
        <v>60.34</v>
      </c>
      <c r="K186" s="7">
        <v>7307.6100000000015</v>
      </c>
    </row>
    <row r="187" ht="15.75" customHeight="1" outlineLevel="3">
      <c r="B187" s="10" t="s">
        <v>123</v>
      </c>
      <c r="C187" s="10" t="s">
        <v>78</v>
      </c>
      <c r="D187" s="10" t="s">
        <v>62</v>
      </c>
      <c r="E187" s="10" t="s">
        <v>268</v>
      </c>
      <c r="F187" s="10" t="s">
        <v>269</v>
      </c>
      <c r="G187" s="10" t="s">
        <v>218</v>
      </c>
      <c r="H187" s="10"/>
      <c r="I187" s="7">
        <v>15.0</v>
      </c>
      <c r="J187" s="7">
        <v>15.0</v>
      </c>
      <c r="K187" s="7">
        <v>7322.6100000000015</v>
      </c>
    </row>
    <row r="188" ht="15.75" customHeight="1" outlineLevel="3">
      <c r="B188" s="10" t="s">
        <v>123</v>
      </c>
      <c r="C188" s="10" t="s">
        <v>78</v>
      </c>
      <c r="D188" s="10" t="s">
        <v>62</v>
      </c>
      <c r="E188" s="10" t="s">
        <v>222</v>
      </c>
      <c r="F188" s="10" t="s">
        <v>270</v>
      </c>
      <c r="G188" s="10" t="s">
        <v>183</v>
      </c>
      <c r="H188" s="10"/>
      <c r="I188" s="7">
        <v>10000.0</v>
      </c>
      <c r="J188" s="7">
        <v>10000.0</v>
      </c>
      <c r="K188" s="7">
        <v>17322.61</v>
      </c>
    </row>
    <row r="189" ht="15.75" customHeight="1" outlineLevel="3">
      <c r="B189" s="10" t="s">
        <v>123</v>
      </c>
      <c r="C189" s="10" t="s">
        <v>78</v>
      </c>
      <c r="D189" s="10" t="s">
        <v>62</v>
      </c>
      <c r="E189" s="10" t="s">
        <v>271</v>
      </c>
      <c r="F189" s="10" t="s">
        <v>272</v>
      </c>
      <c r="G189" s="10" t="s">
        <v>183</v>
      </c>
      <c r="H189" s="10"/>
      <c r="I189" s="7">
        <v>3210.96</v>
      </c>
      <c r="J189" s="7">
        <v>3210.96</v>
      </c>
      <c r="K189" s="7">
        <v>20533.57</v>
      </c>
    </row>
    <row r="190" ht="15.75" customHeight="1" outlineLevel="3">
      <c r="B190" s="10" t="s">
        <v>273</v>
      </c>
      <c r="C190" s="10" t="s">
        <v>78</v>
      </c>
      <c r="D190" s="10" t="s">
        <v>62</v>
      </c>
      <c r="E190" s="10" t="s">
        <v>247</v>
      </c>
      <c r="F190" s="10" t="s">
        <v>248</v>
      </c>
      <c r="G190" s="10" t="s">
        <v>95</v>
      </c>
      <c r="H190" s="10"/>
      <c r="I190" s="7">
        <v>0.99</v>
      </c>
      <c r="J190" s="7">
        <v>0.99</v>
      </c>
      <c r="K190" s="7">
        <v>20534.56</v>
      </c>
    </row>
    <row r="191" ht="15.75" customHeight="1" outlineLevel="3">
      <c r="B191" s="10" t="s">
        <v>124</v>
      </c>
      <c r="C191" s="10" t="s">
        <v>78</v>
      </c>
      <c r="D191" s="10" t="s">
        <v>62</v>
      </c>
      <c r="E191" s="10" t="s">
        <v>274</v>
      </c>
      <c r="F191" s="10" t="s">
        <v>275</v>
      </c>
      <c r="G191" s="10" t="s">
        <v>183</v>
      </c>
      <c r="H191" s="10"/>
      <c r="I191" s="7">
        <v>1030.0</v>
      </c>
      <c r="J191" s="7">
        <v>1030.0</v>
      </c>
      <c r="K191" s="7">
        <v>21564.56</v>
      </c>
    </row>
    <row r="192" ht="15.75" customHeight="1" outlineLevel="3">
      <c r="B192" s="10" t="s">
        <v>126</v>
      </c>
      <c r="C192" s="10" t="s">
        <v>78</v>
      </c>
      <c r="D192" s="10" t="s">
        <v>62</v>
      </c>
      <c r="E192" s="10" t="s">
        <v>234</v>
      </c>
      <c r="F192" s="10" t="s">
        <v>235</v>
      </c>
      <c r="G192" s="10" t="s">
        <v>224</v>
      </c>
      <c r="H192" s="10"/>
      <c r="I192" s="7">
        <v>31.55</v>
      </c>
      <c r="J192" s="7">
        <v>31.55</v>
      </c>
      <c r="K192" s="7">
        <v>21596.11</v>
      </c>
    </row>
    <row r="193" ht="15.75" customHeight="1" outlineLevel="3">
      <c r="B193" s="10" t="s">
        <v>126</v>
      </c>
      <c r="C193" s="10" t="s">
        <v>78</v>
      </c>
      <c r="D193" s="10" t="s">
        <v>62</v>
      </c>
      <c r="E193" s="10" t="s">
        <v>234</v>
      </c>
      <c r="F193" s="10" t="s">
        <v>236</v>
      </c>
      <c r="G193" s="10" t="s">
        <v>224</v>
      </c>
      <c r="H193" s="10"/>
      <c r="I193" s="7">
        <v>3.87</v>
      </c>
      <c r="J193" s="7">
        <v>3.87</v>
      </c>
      <c r="K193" s="7">
        <v>21599.98</v>
      </c>
    </row>
    <row r="194" ht="15.75" customHeight="1" outlineLevel="3">
      <c r="B194" s="10" t="s">
        <v>126</v>
      </c>
      <c r="C194" s="10" t="s">
        <v>78</v>
      </c>
      <c r="D194" s="10" t="s">
        <v>62</v>
      </c>
      <c r="E194" s="10" t="s">
        <v>247</v>
      </c>
      <c r="F194" s="10" t="s">
        <v>248</v>
      </c>
      <c r="G194" s="10" t="s">
        <v>95</v>
      </c>
      <c r="H194" s="10"/>
      <c r="I194" s="7">
        <v>19.99</v>
      </c>
      <c r="J194" s="7">
        <v>19.99</v>
      </c>
      <c r="K194" s="7">
        <v>21619.97</v>
      </c>
    </row>
    <row r="195" ht="15.75" customHeight="1" outlineLevel="3">
      <c r="B195" s="10" t="s">
        <v>126</v>
      </c>
      <c r="C195" s="10" t="s">
        <v>78</v>
      </c>
      <c r="D195" s="10" t="s">
        <v>62</v>
      </c>
      <c r="E195" s="10" t="s">
        <v>276</v>
      </c>
      <c r="F195" s="10" t="s">
        <v>277</v>
      </c>
      <c r="G195" s="10" t="s">
        <v>278</v>
      </c>
      <c r="H195" s="10"/>
      <c r="I195" s="7">
        <v>55.0</v>
      </c>
      <c r="J195" s="7">
        <v>55.0</v>
      </c>
      <c r="K195" s="7">
        <v>21674.97</v>
      </c>
    </row>
    <row r="196" ht="15.75" customHeight="1" outlineLevel="3">
      <c r="B196" s="10" t="s">
        <v>127</v>
      </c>
      <c r="C196" s="10" t="s">
        <v>78</v>
      </c>
      <c r="D196" s="10" t="s">
        <v>62</v>
      </c>
      <c r="E196" s="10" t="s">
        <v>219</v>
      </c>
      <c r="F196" s="10" t="s">
        <v>220</v>
      </c>
      <c r="G196" s="10" t="s">
        <v>221</v>
      </c>
      <c r="H196" s="10"/>
      <c r="I196" s="7">
        <v>235.0</v>
      </c>
      <c r="J196" s="7">
        <v>235.0</v>
      </c>
      <c r="K196" s="7">
        <v>21909.97</v>
      </c>
    </row>
    <row r="197" ht="15.75" customHeight="1" outlineLevel="3">
      <c r="B197" s="10" t="s">
        <v>127</v>
      </c>
      <c r="C197" s="10" t="s">
        <v>78</v>
      </c>
      <c r="D197" s="10" t="s">
        <v>62</v>
      </c>
      <c r="E197" s="10" t="s">
        <v>219</v>
      </c>
      <c r="F197" s="10" t="s">
        <v>220</v>
      </c>
      <c r="G197" s="10" t="s">
        <v>221</v>
      </c>
      <c r="H197" s="10"/>
      <c r="I197" s="7">
        <v>235.0</v>
      </c>
      <c r="J197" s="7">
        <v>235.0</v>
      </c>
      <c r="K197" s="7">
        <v>22144.97</v>
      </c>
    </row>
    <row r="198" ht="15.75" customHeight="1" outlineLevel="3">
      <c r="B198" s="10" t="s">
        <v>127</v>
      </c>
      <c r="C198" s="10" t="s">
        <v>78</v>
      </c>
      <c r="D198" s="10" t="s">
        <v>62</v>
      </c>
      <c r="E198" s="10" t="s">
        <v>178</v>
      </c>
      <c r="F198" s="10" t="s">
        <v>279</v>
      </c>
      <c r="G198" s="10" t="s">
        <v>180</v>
      </c>
      <c r="H198" s="10"/>
      <c r="I198" s="7">
        <v>24.65</v>
      </c>
      <c r="J198" s="7">
        <v>24.65</v>
      </c>
      <c r="K198" s="7">
        <v>22169.620000000003</v>
      </c>
    </row>
    <row r="199" ht="15.75" customHeight="1" outlineLevel="3">
      <c r="B199" s="10" t="s">
        <v>127</v>
      </c>
      <c r="C199" s="10" t="s">
        <v>78</v>
      </c>
      <c r="D199" s="10" t="s">
        <v>62</v>
      </c>
      <c r="E199" s="10" t="s">
        <v>252</v>
      </c>
      <c r="F199" s="10" t="s">
        <v>253</v>
      </c>
      <c r="G199" s="10" t="s">
        <v>254</v>
      </c>
      <c r="H199" s="10"/>
      <c r="I199" s="7">
        <v>37.7</v>
      </c>
      <c r="J199" s="7">
        <v>37.7</v>
      </c>
      <c r="K199" s="7">
        <v>22207.320000000003</v>
      </c>
    </row>
    <row r="200" ht="15.75" customHeight="1" outlineLevel="3">
      <c r="B200" s="10" t="s">
        <v>127</v>
      </c>
      <c r="C200" s="10" t="s">
        <v>102</v>
      </c>
      <c r="D200" s="10" t="s">
        <v>62</v>
      </c>
      <c r="E200" s="10" t="s">
        <v>86</v>
      </c>
      <c r="F200" s="10" t="s">
        <v>128</v>
      </c>
      <c r="G200" s="10" t="s">
        <v>8</v>
      </c>
      <c r="H200" s="7">
        <v>20505.02</v>
      </c>
      <c r="I200" s="10"/>
      <c r="J200" s="14">
        <v>-20505.02</v>
      </c>
      <c r="K200" s="7">
        <v>1702.300000000003</v>
      </c>
    </row>
    <row r="201" ht="15.75" customHeight="1" outlineLevel="3">
      <c r="B201" s="10" t="s">
        <v>130</v>
      </c>
      <c r="C201" s="10" t="s">
        <v>78</v>
      </c>
      <c r="D201" s="10" t="s">
        <v>62</v>
      </c>
      <c r="E201" s="10" t="s">
        <v>234</v>
      </c>
      <c r="F201" s="10" t="s">
        <v>235</v>
      </c>
      <c r="G201" s="10" t="s">
        <v>224</v>
      </c>
      <c r="H201" s="10"/>
      <c r="I201" s="7">
        <v>37.94</v>
      </c>
      <c r="J201" s="7">
        <v>37.94</v>
      </c>
      <c r="K201" s="7">
        <v>1740.240000000003</v>
      </c>
    </row>
    <row r="202" ht="15.75" customHeight="1" outlineLevel="3">
      <c r="B202" s="10" t="s">
        <v>130</v>
      </c>
      <c r="C202" s="10" t="s">
        <v>78</v>
      </c>
      <c r="D202" s="10" t="s">
        <v>62</v>
      </c>
      <c r="E202" s="10" t="s">
        <v>234</v>
      </c>
      <c r="F202" s="10" t="s">
        <v>236</v>
      </c>
      <c r="G202" s="10" t="s">
        <v>224</v>
      </c>
      <c r="H202" s="10"/>
      <c r="I202" s="7">
        <v>15.85</v>
      </c>
      <c r="J202" s="7">
        <v>15.85</v>
      </c>
      <c r="K202" s="7">
        <v>1756.0900000000029</v>
      </c>
    </row>
    <row r="203" ht="15.75" customHeight="1" outlineLevel="3">
      <c r="B203" s="10" t="s">
        <v>130</v>
      </c>
      <c r="C203" s="10" t="s">
        <v>78</v>
      </c>
      <c r="D203" s="10" t="s">
        <v>62</v>
      </c>
      <c r="E203" s="10" t="s">
        <v>234</v>
      </c>
      <c r="F203" s="10" t="s">
        <v>236</v>
      </c>
      <c r="G203" s="10" t="s">
        <v>224</v>
      </c>
      <c r="H203" s="10"/>
      <c r="I203" s="7">
        <v>8.49</v>
      </c>
      <c r="J203" s="7">
        <v>8.49</v>
      </c>
      <c r="K203" s="7">
        <v>1764.5800000000029</v>
      </c>
    </row>
    <row r="204" ht="15.75" customHeight="1" outlineLevel="3">
      <c r="B204" s="10" t="s">
        <v>130</v>
      </c>
      <c r="C204" s="10" t="s">
        <v>78</v>
      </c>
      <c r="D204" s="10" t="s">
        <v>62</v>
      </c>
      <c r="E204" s="10" t="s">
        <v>234</v>
      </c>
      <c r="F204" s="10" t="s">
        <v>236</v>
      </c>
      <c r="G204" s="10" t="s">
        <v>224</v>
      </c>
      <c r="H204" s="10"/>
      <c r="I204" s="7">
        <v>17.93</v>
      </c>
      <c r="J204" s="7">
        <v>17.93</v>
      </c>
      <c r="K204" s="7">
        <v>1782.510000000003</v>
      </c>
    </row>
    <row r="205" ht="15.75" customHeight="1" outlineLevel="3">
      <c r="B205" s="10" t="s">
        <v>130</v>
      </c>
      <c r="C205" s="10" t="s">
        <v>78</v>
      </c>
      <c r="D205" s="10" t="s">
        <v>62</v>
      </c>
      <c r="E205" s="10" t="s">
        <v>280</v>
      </c>
      <c r="F205" s="10" t="s">
        <v>281</v>
      </c>
      <c r="G205" s="10" t="s">
        <v>282</v>
      </c>
      <c r="H205" s="10"/>
      <c r="I205" s="7">
        <v>2242.48</v>
      </c>
      <c r="J205" s="7">
        <v>2242.48</v>
      </c>
      <c r="K205" s="7">
        <v>4024.990000000003</v>
      </c>
    </row>
    <row r="206" ht="15.75" customHeight="1" outlineLevel="3">
      <c r="B206" s="10" t="s">
        <v>130</v>
      </c>
      <c r="C206" s="10" t="s">
        <v>78</v>
      </c>
      <c r="D206" s="10" t="s">
        <v>62</v>
      </c>
      <c r="E206" s="10" t="s">
        <v>62</v>
      </c>
      <c r="F206" s="10" t="s">
        <v>283</v>
      </c>
      <c r="G206" s="10" t="s">
        <v>284</v>
      </c>
      <c r="H206" s="10"/>
      <c r="I206" s="7">
        <v>112.12</v>
      </c>
      <c r="J206" s="7">
        <v>112.12</v>
      </c>
      <c r="K206" s="7">
        <v>4137.110000000003</v>
      </c>
    </row>
    <row r="207" ht="15.75" customHeight="1" outlineLevel="3">
      <c r="B207" s="10" t="s">
        <v>285</v>
      </c>
      <c r="C207" s="10" t="s">
        <v>78</v>
      </c>
      <c r="D207" s="10" t="s">
        <v>62</v>
      </c>
      <c r="E207" s="10" t="s">
        <v>178</v>
      </c>
      <c r="F207" s="10" t="s">
        <v>286</v>
      </c>
      <c r="G207" s="10" t="s">
        <v>180</v>
      </c>
      <c r="H207" s="10"/>
      <c r="I207" s="7">
        <v>30.07</v>
      </c>
      <c r="J207" s="7">
        <v>30.07</v>
      </c>
      <c r="K207" s="7">
        <v>4167.180000000003</v>
      </c>
    </row>
    <row r="208" ht="15.75" customHeight="1" outlineLevel="3">
      <c r="B208" s="10" t="s">
        <v>285</v>
      </c>
      <c r="C208" s="10" t="s">
        <v>78</v>
      </c>
      <c r="D208" s="10" t="s">
        <v>62</v>
      </c>
      <c r="E208" s="10" t="s">
        <v>222</v>
      </c>
      <c r="F208" s="10" t="s">
        <v>270</v>
      </c>
      <c r="G208" s="10" t="s">
        <v>183</v>
      </c>
      <c r="H208" s="10"/>
      <c r="I208" s="7">
        <v>1938.0</v>
      </c>
      <c r="J208" s="7">
        <v>1938.0</v>
      </c>
      <c r="K208" s="7">
        <v>6105.180000000003</v>
      </c>
    </row>
    <row r="209" ht="15.75" customHeight="1" outlineLevel="3">
      <c r="B209" s="10" t="s">
        <v>285</v>
      </c>
      <c r="C209" s="10" t="s">
        <v>78</v>
      </c>
      <c r="D209" s="10" t="s">
        <v>62</v>
      </c>
      <c r="E209" s="10" t="s">
        <v>230</v>
      </c>
      <c r="F209" s="10" t="s">
        <v>287</v>
      </c>
      <c r="G209" s="10" t="s">
        <v>218</v>
      </c>
      <c r="H209" s="10"/>
      <c r="I209" s="7">
        <v>1815.63</v>
      </c>
      <c r="J209" s="7">
        <v>1815.63</v>
      </c>
      <c r="K209" s="7">
        <v>7920.810000000003</v>
      </c>
    </row>
    <row r="210" ht="15.75" customHeight="1" outlineLevel="3">
      <c r="B210" s="10" t="s">
        <v>288</v>
      </c>
      <c r="C210" s="10" t="s">
        <v>78</v>
      </c>
      <c r="D210" s="10" t="s">
        <v>62</v>
      </c>
      <c r="E210" s="10" t="s">
        <v>178</v>
      </c>
      <c r="F210" s="10" t="s">
        <v>289</v>
      </c>
      <c r="G210" s="10" t="s">
        <v>180</v>
      </c>
      <c r="H210" s="10"/>
      <c r="I210" s="7">
        <v>9.73</v>
      </c>
      <c r="J210" s="7">
        <v>9.73</v>
      </c>
      <c r="K210" s="7">
        <v>7930.540000000003</v>
      </c>
    </row>
    <row r="211" ht="15.75" customHeight="1" outlineLevel="3">
      <c r="B211" s="10" t="s">
        <v>288</v>
      </c>
      <c r="C211" s="10" t="s">
        <v>78</v>
      </c>
      <c r="D211" s="10" t="s">
        <v>62</v>
      </c>
      <c r="E211" s="10" t="s">
        <v>83</v>
      </c>
      <c r="F211" s="10" t="s">
        <v>290</v>
      </c>
      <c r="G211" s="10" t="s">
        <v>183</v>
      </c>
      <c r="H211" s="10"/>
      <c r="I211" s="7">
        <v>3042.0</v>
      </c>
      <c r="J211" s="7">
        <v>3042.0</v>
      </c>
      <c r="K211" s="7">
        <v>10972.540000000003</v>
      </c>
    </row>
    <row r="212" ht="15.75" customHeight="1" outlineLevel="3">
      <c r="B212" s="10" t="s">
        <v>132</v>
      </c>
      <c r="C212" s="10" t="s">
        <v>102</v>
      </c>
      <c r="D212" s="10" t="s">
        <v>62</v>
      </c>
      <c r="E212" s="10" t="s">
        <v>86</v>
      </c>
      <c r="F212" s="10" t="s">
        <v>128</v>
      </c>
      <c r="G212" s="10" t="s">
        <v>8</v>
      </c>
      <c r="H212" s="7">
        <v>10978.35</v>
      </c>
      <c r="I212" s="10"/>
      <c r="J212" s="14">
        <v>-10978.35</v>
      </c>
      <c r="K212" s="14">
        <v>-5.809999999997672</v>
      </c>
    </row>
    <row r="213" ht="15.75" customHeight="1" outlineLevel="3">
      <c r="B213" s="10" t="s">
        <v>137</v>
      </c>
      <c r="C213" s="10" t="s">
        <v>78</v>
      </c>
      <c r="D213" s="10" t="s">
        <v>62</v>
      </c>
      <c r="E213" s="10" t="s">
        <v>247</v>
      </c>
      <c r="F213" s="10" t="s">
        <v>248</v>
      </c>
      <c r="G213" s="10" t="s">
        <v>95</v>
      </c>
      <c r="H213" s="10"/>
      <c r="I213" s="7">
        <v>12.99</v>
      </c>
      <c r="J213" s="7">
        <v>12.99</v>
      </c>
      <c r="K213" s="7">
        <v>7.1800000000023285</v>
      </c>
    </row>
    <row r="214" ht="15.75" customHeight="1" outlineLevel="3">
      <c r="B214" s="10" t="s">
        <v>137</v>
      </c>
      <c r="C214" s="10" t="s">
        <v>78</v>
      </c>
      <c r="D214" s="10" t="s">
        <v>62</v>
      </c>
      <c r="E214" s="10" t="s">
        <v>291</v>
      </c>
      <c r="F214" s="10" t="s">
        <v>292</v>
      </c>
      <c r="G214" s="10" t="s">
        <v>150</v>
      </c>
      <c r="H214" s="10"/>
      <c r="I214" s="7">
        <v>1500.0</v>
      </c>
      <c r="J214" s="7">
        <v>1500.0</v>
      </c>
      <c r="K214" s="7">
        <v>1507.1800000000023</v>
      </c>
    </row>
    <row r="215" ht="15.75" customHeight="1" outlineLevel="3">
      <c r="B215" s="10" t="s">
        <v>141</v>
      </c>
      <c r="C215" s="10" t="s">
        <v>78</v>
      </c>
      <c r="D215" s="10" t="s">
        <v>62</v>
      </c>
      <c r="E215" s="10" t="s">
        <v>226</v>
      </c>
      <c r="F215" s="10" t="s">
        <v>293</v>
      </c>
      <c r="G215" s="10" t="s">
        <v>228</v>
      </c>
      <c r="H215" s="10"/>
      <c r="I215" s="7">
        <v>42.41</v>
      </c>
      <c r="J215" s="7">
        <v>42.41</v>
      </c>
      <c r="K215" s="7">
        <v>1549.5900000000024</v>
      </c>
    </row>
    <row r="216" ht="15.75" customHeight="1" outlineLevel="3">
      <c r="B216" s="10" t="s">
        <v>141</v>
      </c>
      <c r="C216" s="10" t="s">
        <v>78</v>
      </c>
      <c r="D216" s="10" t="s">
        <v>62</v>
      </c>
      <c r="E216" s="10" t="s">
        <v>263</v>
      </c>
      <c r="F216" s="10" t="s">
        <v>264</v>
      </c>
      <c r="G216" s="10" t="s">
        <v>183</v>
      </c>
      <c r="H216" s="10"/>
      <c r="I216" s="7">
        <v>4383.98</v>
      </c>
      <c r="J216" s="7">
        <v>4383.98</v>
      </c>
      <c r="K216" s="7">
        <v>5933.5700000000015</v>
      </c>
    </row>
    <row r="217" ht="15.75" customHeight="1" outlineLevel="3">
      <c r="B217" s="10" t="s">
        <v>141</v>
      </c>
      <c r="C217" s="10" t="s">
        <v>184</v>
      </c>
      <c r="D217" s="10" t="s">
        <v>62</v>
      </c>
      <c r="E217" s="10" t="s">
        <v>294</v>
      </c>
      <c r="F217" s="10" t="s">
        <v>295</v>
      </c>
      <c r="G217" s="10" t="s">
        <v>296</v>
      </c>
      <c r="H217" s="7">
        <v>909.5</v>
      </c>
      <c r="I217" s="10"/>
      <c r="J217" s="14">
        <v>-909.5</v>
      </c>
      <c r="K217" s="7">
        <v>5024.0700000000015</v>
      </c>
    </row>
    <row r="218" ht="15.75" customHeight="1" outlineLevel="3">
      <c r="B218" s="10" t="s">
        <v>297</v>
      </c>
      <c r="C218" s="10" t="s">
        <v>78</v>
      </c>
      <c r="D218" s="10" t="s">
        <v>62</v>
      </c>
      <c r="E218" s="10" t="s">
        <v>247</v>
      </c>
      <c r="F218" s="10" t="s">
        <v>248</v>
      </c>
      <c r="G218" s="10" t="s">
        <v>95</v>
      </c>
      <c r="H218" s="10"/>
      <c r="I218" s="7">
        <v>2.99</v>
      </c>
      <c r="J218" s="7">
        <v>2.99</v>
      </c>
      <c r="K218" s="7">
        <v>5027.060000000001</v>
      </c>
    </row>
    <row r="219" ht="15.75" customHeight="1" outlineLevel="3">
      <c r="B219" s="10" t="s">
        <v>210</v>
      </c>
      <c r="C219" s="10" t="s">
        <v>78</v>
      </c>
      <c r="D219" s="10" t="s">
        <v>62</v>
      </c>
      <c r="E219" s="10" t="s">
        <v>298</v>
      </c>
      <c r="F219" s="10" t="s">
        <v>299</v>
      </c>
      <c r="G219" s="10" t="s">
        <v>300</v>
      </c>
      <c r="H219" s="10"/>
      <c r="I219" s="7">
        <v>11.41</v>
      </c>
      <c r="J219" s="7">
        <v>11.41</v>
      </c>
      <c r="K219" s="7">
        <v>5038.470000000001</v>
      </c>
    </row>
    <row r="220" ht="15.75" customHeight="1" outlineLevel="3">
      <c r="B220" s="10" t="s">
        <v>143</v>
      </c>
      <c r="C220" s="10" t="s">
        <v>184</v>
      </c>
      <c r="D220" s="10" t="s">
        <v>62</v>
      </c>
      <c r="E220" s="10" t="s">
        <v>291</v>
      </c>
      <c r="F220" s="10" t="s">
        <v>292</v>
      </c>
      <c r="G220" s="10" t="s">
        <v>150</v>
      </c>
      <c r="H220" s="7">
        <v>1500.0</v>
      </c>
      <c r="I220" s="10"/>
      <c r="J220" s="14">
        <v>-1500.0</v>
      </c>
      <c r="K220" s="7">
        <v>3538.470000000001</v>
      </c>
    </row>
    <row r="221" ht="15.75" customHeight="1" outlineLevel="3">
      <c r="B221" s="10" t="s">
        <v>147</v>
      </c>
      <c r="C221" s="10" t="s">
        <v>78</v>
      </c>
      <c r="D221" s="10" t="s">
        <v>62</v>
      </c>
      <c r="E221" s="10" t="s">
        <v>276</v>
      </c>
      <c r="F221" s="10" t="s">
        <v>277</v>
      </c>
      <c r="G221" s="10" t="s">
        <v>278</v>
      </c>
      <c r="H221" s="10"/>
      <c r="I221" s="7">
        <v>14.95</v>
      </c>
      <c r="J221" s="7">
        <v>14.95</v>
      </c>
      <c r="K221" s="7">
        <v>3553.420000000001</v>
      </c>
    </row>
    <row r="222" ht="15.75" customHeight="1" outlineLevel="3">
      <c r="B222" s="10" t="s">
        <v>147</v>
      </c>
      <c r="C222" s="10" t="s">
        <v>78</v>
      </c>
      <c r="D222" s="10" t="s">
        <v>62</v>
      </c>
      <c r="E222" s="10" t="s">
        <v>301</v>
      </c>
      <c r="F222" s="10" t="s">
        <v>302</v>
      </c>
      <c r="G222" s="10" t="s">
        <v>140</v>
      </c>
      <c r="H222" s="10"/>
      <c r="I222" s="7">
        <v>352.0</v>
      </c>
      <c r="J222" s="7">
        <v>352.0</v>
      </c>
      <c r="K222" s="7">
        <v>3905.420000000001</v>
      </c>
    </row>
    <row r="223" ht="15.75" customHeight="1" outlineLevel="3">
      <c r="B223" s="10" t="s">
        <v>151</v>
      </c>
      <c r="C223" s="10" t="s">
        <v>78</v>
      </c>
      <c r="D223" s="10" t="s">
        <v>62</v>
      </c>
      <c r="E223" s="10" t="s">
        <v>216</v>
      </c>
      <c r="F223" s="10" t="s">
        <v>217</v>
      </c>
      <c r="G223" s="10" t="s">
        <v>218</v>
      </c>
      <c r="H223" s="10"/>
      <c r="I223" s="7">
        <v>299.0</v>
      </c>
      <c r="J223" s="7">
        <v>299.0</v>
      </c>
      <c r="K223" s="7">
        <v>4204.420000000001</v>
      </c>
    </row>
    <row r="224" ht="15.75" customHeight="1" outlineLevel="3">
      <c r="B224" s="10" t="s">
        <v>151</v>
      </c>
      <c r="C224" s="10" t="s">
        <v>78</v>
      </c>
      <c r="D224" s="10" t="s">
        <v>62</v>
      </c>
      <c r="E224" s="10" t="s">
        <v>234</v>
      </c>
      <c r="F224" s="10" t="s">
        <v>236</v>
      </c>
      <c r="G224" s="10" t="s">
        <v>224</v>
      </c>
      <c r="H224" s="10"/>
      <c r="I224" s="7">
        <v>10.23</v>
      </c>
      <c r="J224" s="7">
        <v>10.23</v>
      </c>
      <c r="K224" s="7">
        <v>4214.650000000001</v>
      </c>
    </row>
    <row r="225" ht="15.75" customHeight="1" outlineLevel="2">
      <c r="A225" s="15" t="s">
        <v>303</v>
      </c>
      <c r="B225" s="4"/>
      <c r="C225" s="4"/>
      <c r="D225" s="4"/>
      <c r="E225" s="4"/>
      <c r="F225" s="4"/>
      <c r="G225" s="4"/>
      <c r="H225" s="4"/>
      <c r="I225" s="4"/>
      <c r="J225" s="16">
        <f>J143+J144+J145+J146+J147+J148+J149+J150+J151+J152+J153+J154+J155+J156+J157+J158+J159+J160+J161+J162+J163+J164+J165+J166+J167+J168+J169+J170+J171+J172+J173+J174+J175+J176+J177+J178+J179+J180+J181+J182+J183+J184+J185+J186+J187+J188+J189+J190+J191+J192+J193+J194+J195+J196+J197+J198+J199+J200+J201+J202+J203+J204+J205+J206+J207+J208+J209+J210+J211+J212+J213+J214+J215+J216+J217+J218+J219+J220+J221+J222+J223+J224</f>
        <v>-6378.95</v>
      </c>
      <c r="K225" s="4"/>
    </row>
    <row r="226" ht="15.75" customHeight="1" outlineLevel="2">
      <c r="A226" s="13" t="s">
        <v>44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 outlineLevel="3">
      <c r="B227" s="10" t="s">
        <v>73</v>
      </c>
      <c r="C227" s="4"/>
      <c r="D227" s="4"/>
      <c r="E227" s="4"/>
      <c r="F227" s="4"/>
      <c r="G227" s="4"/>
      <c r="H227" s="4"/>
      <c r="I227" s="4"/>
      <c r="J227" s="4"/>
      <c r="K227" s="7">
        <v>422.44</v>
      </c>
    </row>
    <row r="228" ht="15.75" customHeight="1" outlineLevel="3">
      <c r="B228" s="10" t="s">
        <v>113</v>
      </c>
      <c r="C228" s="10" t="s">
        <v>78</v>
      </c>
      <c r="D228" s="10" t="s">
        <v>62</v>
      </c>
      <c r="E228" s="10" t="s">
        <v>114</v>
      </c>
      <c r="F228" s="10" t="s">
        <v>115</v>
      </c>
      <c r="G228" s="10" t="s">
        <v>8</v>
      </c>
      <c r="H228" s="7">
        <v>422.46</v>
      </c>
      <c r="I228" s="10"/>
      <c r="J228" s="14">
        <v>-422.46</v>
      </c>
      <c r="K228" s="14">
        <v>-0.01999999999998181</v>
      </c>
    </row>
    <row r="229" ht="15.75" customHeight="1" outlineLevel="3">
      <c r="B229" s="10" t="s">
        <v>151</v>
      </c>
      <c r="C229" s="10" t="s">
        <v>157</v>
      </c>
      <c r="D229" s="10" t="s">
        <v>304</v>
      </c>
      <c r="E229" s="10" t="s">
        <v>62</v>
      </c>
      <c r="F229" s="10" t="s">
        <v>305</v>
      </c>
      <c r="G229" s="10" t="s">
        <v>62</v>
      </c>
      <c r="H229" s="10"/>
      <c r="I229" s="7">
        <v>235.69</v>
      </c>
      <c r="J229" s="7">
        <v>235.69</v>
      </c>
      <c r="K229" s="7">
        <v>235.67000000000002</v>
      </c>
    </row>
    <row r="230" ht="15.75" customHeight="1" outlineLevel="2">
      <c r="A230" s="15" t="s">
        <v>306</v>
      </c>
      <c r="B230" s="4"/>
      <c r="C230" s="4"/>
      <c r="D230" s="4"/>
      <c r="E230" s="4"/>
      <c r="F230" s="4"/>
      <c r="G230" s="4"/>
      <c r="H230" s="4"/>
      <c r="I230" s="4"/>
      <c r="J230" s="16">
        <f>J226+J227+J228+J229</f>
        <v>-186.77</v>
      </c>
      <c r="K230" s="4"/>
    </row>
    <row r="231" ht="15.75" customHeight="1" outlineLevel="2">
      <c r="A231" s="13" t="s">
        <v>38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 outlineLevel="3">
      <c r="B232" s="10" t="s">
        <v>73</v>
      </c>
      <c r="C232" s="4"/>
      <c r="D232" s="4"/>
      <c r="E232" s="4"/>
      <c r="F232" s="4"/>
      <c r="G232" s="4"/>
      <c r="H232" s="4"/>
      <c r="I232" s="4"/>
      <c r="J232" s="4"/>
      <c r="K232" s="7">
        <v>0.0</v>
      </c>
    </row>
    <row r="233" ht="15.75" customHeight="1" outlineLevel="3">
      <c r="A233" s="15" t="s">
        <v>43</v>
      </c>
      <c r="B233" s="4"/>
      <c r="C233" s="4"/>
      <c r="D233" s="4"/>
      <c r="E233" s="4"/>
      <c r="F233" s="4"/>
      <c r="G233" s="4"/>
      <c r="H233" s="4"/>
      <c r="I233" s="4"/>
      <c r="J233" s="17"/>
      <c r="K233" s="4"/>
    </row>
    <row r="234" ht="15.75" customHeight="1" outlineLevel="3">
      <c r="A234" s="13" t="s">
        <v>41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 outlineLevel="4">
      <c r="B235" s="10" t="s">
        <v>73</v>
      </c>
      <c r="C235" s="4"/>
      <c r="D235" s="4"/>
      <c r="E235" s="4"/>
      <c r="F235" s="4"/>
      <c r="G235" s="4"/>
      <c r="H235" s="4"/>
      <c r="I235" s="4"/>
      <c r="J235" s="4"/>
      <c r="K235" s="14">
        <v>-543.15</v>
      </c>
    </row>
    <row r="236" ht="15.75" customHeight="1" outlineLevel="4">
      <c r="B236" s="10" t="s">
        <v>151</v>
      </c>
      <c r="C236" s="10" t="s">
        <v>157</v>
      </c>
      <c r="D236" s="10" t="s">
        <v>158</v>
      </c>
      <c r="E236" s="10" t="s">
        <v>62</v>
      </c>
      <c r="F236" s="10" t="s">
        <v>159</v>
      </c>
      <c r="G236" s="10" t="s">
        <v>62</v>
      </c>
      <c r="H236" s="10"/>
      <c r="I236" s="7">
        <v>1018.01</v>
      </c>
      <c r="J236" s="7">
        <v>1018.01</v>
      </c>
      <c r="K236" s="7">
        <v>474.86</v>
      </c>
    </row>
    <row r="237" ht="15.75" customHeight="1" outlineLevel="3">
      <c r="A237" s="15" t="s">
        <v>307</v>
      </c>
      <c r="B237" s="4"/>
      <c r="C237" s="4"/>
      <c r="D237" s="4"/>
      <c r="E237" s="4"/>
      <c r="F237" s="4"/>
      <c r="G237" s="4"/>
      <c r="H237" s="4"/>
      <c r="I237" s="4"/>
      <c r="J237" s="9">
        <f>J234+J235+J236</f>
        <v>1018.01</v>
      </c>
      <c r="K237" s="4"/>
    </row>
    <row r="238" ht="15.75" customHeight="1" outlineLevel="3">
      <c r="A238" s="13" t="s">
        <v>39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 outlineLevel="4">
      <c r="B239" s="10" t="s">
        <v>73</v>
      </c>
      <c r="C239" s="4"/>
      <c r="D239" s="4"/>
      <c r="E239" s="4"/>
      <c r="F239" s="4"/>
      <c r="G239" s="4"/>
      <c r="H239" s="4"/>
      <c r="I239" s="4"/>
      <c r="J239" s="4"/>
      <c r="K239" s="7">
        <v>1471.26</v>
      </c>
    </row>
    <row r="240" ht="15.75" customHeight="1" outlineLevel="3">
      <c r="A240" s="15" t="s">
        <v>308</v>
      </c>
      <c r="B240" s="4"/>
      <c r="C240" s="4"/>
      <c r="D240" s="4"/>
      <c r="E240" s="4"/>
      <c r="F240" s="4"/>
      <c r="G240" s="4"/>
      <c r="H240" s="4"/>
      <c r="I240" s="4"/>
      <c r="J240" s="17"/>
      <c r="K240" s="4"/>
    </row>
    <row r="241" ht="15.75" customHeight="1" outlineLevel="3">
      <c r="A241" s="13" t="s">
        <v>40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 outlineLevel="4">
      <c r="B242" s="10" t="s">
        <v>73</v>
      </c>
      <c r="C242" s="4"/>
      <c r="D242" s="4"/>
      <c r="E242" s="4"/>
      <c r="F242" s="4"/>
      <c r="G242" s="4"/>
      <c r="H242" s="4"/>
      <c r="I242" s="4"/>
      <c r="J242" s="4"/>
      <c r="K242" s="7">
        <v>168.0</v>
      </c>
    </row>
    <row r="243" ht="15.75" customHeight="1" outlineLevel="3">
      <c r="A243" s="15" t="s">
        <v>309</v>
      </c>
      <c r="B243" s="4"/>
      <c r="C243" s="4"/>
      <c r="D243" s="4"/>
      <c r="E243" s="4"/>
      <c r="F243" s="4"/>
      <c r="G243" s="4"/>
      <c r="H243" s="4"/>
      <c r="I243" s="4"/>
      <c r="J243" s="17"/>
      <c r="K243" s="4"/>
    </row>
    <row r="244" ht="15.75" customHeight="1" outlineLevel="3">
      <c r="A244" s="13" t="s">
        <v>42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 outlineLevel="4">
      <c r="B245" s="10" t="s">
        <v>73</v>
      </c>
      <c r="C245" s="4"/>
      <c r="D245" s="4"/>
      <c r="E245" s="4"/>
      <c r="F245" s="4"/>
      <c r="G245" s="4"/>
      <c r="H245" s="4"/>
      <c r="I245" s="4"/>
      <c r="J245" s="4"/>
      <c r="K245" s="14">
        <v>-144.23</v>
      </c>
    </row>
    <row r="246" ht="15.75" customHeight="1" outlineLevel="3">
      <c r="A246" s="15" t="s">
        <v>310</v>
      </c>
      <c r="B246" s="4"/>
      <c r="C246" s="4"/>
      <c r="D246" s="4"/>
      <c r="E246" s="4"/>
      <c r="F246" s="4"/>
      <c r="G246" s="4"/>
      <c r="H246" s="4"/>
      <c r="I246" s="4"/>
      <c r="J246" s="17"/>
      <c r="K246" s="4"/>
    </row>
    <row r="247" ht="15.75" customHeight="1" outlineLevel="2">
      <c r="A247" s="15" t="s">
        <v>311</v>
      </c>
      <c r="B247" s="4"/>
      <c r="C247" s="4"/>
      <c r="D247" s="4"/>
      <c r="E247" s="4"/>
      <c r="F247" s="4"/>
      <c r="G247" s="4"/>
      <c r="H247" s="4"/>
      <c r="I247" s="4"/>
      <c r="J247" s="9">
        <f>J237+J240+J243+J246</f>
        <v>1018.01</v>
      </c>
      <c r="K247" s="4"/>
    </row>
    <row r="248" ht="15.75" customHeight="1" outlineLevel="2">
      <c r="A248" s="13" t="s">
        <v>37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 outlineLevel="3">
      <c r="B249" s="10" t="s">
        <v>73</v>
      </c>
      <c r="C249" s="4"/>
      <c r="D249" s="4"/>
      <c r="E249" s="4"/>
      <c r="F249" s="4"/>
      <c r="G249" s="4"/>
      <c r="H249" s="4"/>
      <c r="I249" s="4"/>
      <c r="J249" s="4"/>
      <c r="K249" s="7">
        <v>0.0</v>
      </c>
    </row>
    <row r="250" ht="15.75" customHeight="1" outlineLevel="2">
      <c r="A250" s="15" t="s">
        <v>312</v>
      </c>
      <c r="B250" s="4"/>
      <c r="C250" s="4"/>
      <c r="D250" s="4"/>
      <c r="E250" s="4"/>
      <c r="F250" s="4"/>
      <c r="G250" s="4"/>
      <c r="H250" s="4"/>
      <c r="I250" s="4"/>
      <c r="J250" s="17"/>
      <c r="K250" s="4"/>
    </row>
    <row r="251" ht="15.75" customHeight="1" outlineLevel="1">
      <c r="A251" s="15" t="s">
        <v>313</v>
      </c>
      <c r="B251" s="4"/>
      <c r="C251" s="4"/>
      <c r="D251" s="4"/>
      <c r="E251" s="4"/>
      <c r="F251" s="4"/>
      <c r="G251" s="4"/>
      <c r="H251" s="4"/>
      <c r="I251" s="4"/>
      <c r="J251" s="16">
        <f>J114+J142+J225+J230+J233+J247+J250</f>
        <v>-3847.37</v>
      </c>
      <c r="K251" s="4"/>
    </row>
    <row r="252" ht="15.75" customHeight="1" outlineLevel="1">
      <c r="A252" s="13" t="s">
        <v>48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 outlineLevel="2">
      <c r="B253" s="10" t="s">
        <v>55</v>
      </c>
      <c r="C253" s="4"/>
      <c r="D253" s="4"/>
      <c r="E253" s="4"/>
      <c r="F253" s="4"/>
      <c r="G253" s="4"/>
      <c r="H253" s="4"/>
      <c r="I253" s="4"/>
      <c r="J253" s="14">
        <v>-13078.650000000107</v>
      </c>
      <c r="K253" s="10"/>
    </row>
    <row r="254" ht="15.75" customHeight="1" outlineLevel="2">
      <c r="B254" s="10" t="s">
        <v>56</v>
      </c>
      <c r="C254" s="4"/>
      <c r="D254" s="4"/>
      <c r="E254" s="4"/>
      <c r="F254" s="4"/>
      <c r="G254" s="4"/>
      <c r="H254" s="4"/>
      <c r="I254" s="4"/>
      <c r="J254" s="7">
        <v>51260.20000000033</v>
      </c>
      <c r="K254" s="4"/>
    </row>
    <row r="255" ht="15.75" customHeight="1" outlineLevel="2">
      <c r="A255" s="13" t="s">
        <v>51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 outlineLevel="3">
      <c r="B256" s="10" t="s">
        <v>73</v>
      </c>
      <c r="C256" s="4"/>
      <c r="D256" s="4"/>
      <c r="E256" s="4"/>
      <c r="F256" s="4"/>
      <c r="G256" s="4"/>
      <c r="H256" s="4"/>
      <c r="I256" s="4"/>
      <c r="J256" s="4"/>
      <c r="K256" s="14">
        <v>-63544.99</v>
      </c>
    </row>
    <row r="257" ht="15.75" customHeight="1" outlineLevel="3">
      <c r="B257" s="10" t="s">
        <v>74</v>
      </c>
      <c r="C257" s="10" t="s">
        <v>78</v>
      </c>
      <c r="D257" s="10" t="s">
        <v>62</v>
      </c>
      <c r="E257" s="10" t="s">
        <v>176</v>
      </c>
      <c r="F257" s="10" t="s">
        <v>177</v>
      </c>
      <c r="G257" s="10" t="s">
        <v>33</v>
      </c>
      <c r="H257" s="7">
        <v>296.23</v>
      </c>
      <c r="I257" s="10"/>
      <c r="J257" s="14">
        <v>-296.23</v>
      </c>
      <c r="K257" s="14">
        <v>-63841.22</v>
      </c>
    </row>
    <row r="258" ht="15.75" customHeight="1" outlineLevel="3">
      <c r="B258" s="10" t="s">
        <v>74</v>
      </c>
      <c r="C258" s="10" t="s">
        <v>78</v>
      </c>
      <c r="D258" s="10" t="s">
        <v>62</v>
      </c>
      <c r="E258" s="10" t="s">
        <v>86</v>
      </c>
      <c r="F258" s="10" t="s">
        <v>87</v>
      </c>
      <c r="G258" s="10" t="s">
        <v>8</v>
      </c>
      <c r="H258" s="7">
        <v>2546.46</v>
      </c>
      <c r="I258" s="10"/>
      <c r="J258" s="14">
        <v>-2546.46</v>
      </c>
      <c r="K258" s="14">
        <v>-66387.68000000001</v>
      </c>
    </row>
    <row r="259" ht="15.75" customHeight="1" outlineLevel="3">
      <c r="B259" s="10" t="s">
        <v>97</v>
      </c>
      <c r="C259" s="10" t="s">
        <v>184</v>
      </c>
      <c r="D259" s="10" t="s">
        <v>62</v>
      </c>
      <c r="E259" s="10" t="s">
        <v>185</v>
      </c>
      <c r="F259" s="10" t="s">
        <v>186</v>
      </c>
      <c r="G259" s="10" t="s">
        <v>33</v>
      </c>
      <c r="H259" s="10"/>
      <c r="I259" s="7">
        <v>18.85</v>
      </c>
      <c r="J259" s="7">
        <v>18.85</v>
      </c>
      <c r="K259" s="14">
        <v>-66368.83</v>
      </c>
    </row>
    <row r="260" ht="15.75" customHeight="1" outlineLevel="3">
      <c r="B260" s="10" t="s">
        <v>104</v>
      </c>
      <c r="C260" s="10" t="s">
        <v>78</v>
      </c>
      <c r="D260" s="10" t="s">
        <v>62</v>
      </c>
      <c r="E260" s="10" t="s">
        <v>189</v>
      </c>
      <c r="F260" s="10" t="s">
        <v>190</v>
      </c>
      <c r="G260" s="10" t="s">
        <v>33</v>
      </c>
      <c r="H260" s="7">
        <v>157.51</v>
      </c>
      <c r="I260" s="10"/>
      <c r="J260" s="14">
        <v>-157.51</v>
      </c>
      <c r="K260" s="14">
        <v>-66526.34</v>
      </c>
    </row>
    <row r="261" ht="15.75" customHeight="1" outlineLevel="3">
      <c r="B261" s="10" t="s">
        <v>104</v>
      </c>
      <c r="C261" s="10" t="s">
        <v>78</v>
      </c>
      <c r="D261" s="10" t="s">
        <v>62</v>
      </c>
      <c r="E261" s="10" t="s">
        <v>191</v>
      </c>
      <c r="F261" s="10" t="s">
        <v>192</v>
      </c>
      <c r="G261" s="10" t="s">
        <v>33</v>
      </c>
      <c r="H261" s="7">
        <v>18.3</v>
      </c>
      <c r="I261" s="10"/>
      <c r="J261" s="14">
        <v>-18.3</v>
      </c>
      <c r="K261" s="14">
        <v>-66544.64</v>
      </c>
    </row>
    <row r="262" ht="15.75" customHeight="1" outlineLevel="3">
      <c r="B262" s="10" t="s">
        <v>123</v>
      </c>
      <c r="C262" s="10" t="s">
        <v>78</v>
      </c>
      <c r="D262" s="10" t="s">
        <v>62</v>
      </c>
      <c r="E262" s="10" t="s">
        <v>189</v>
      </c>
      <c r="F262" s="10" t="s">
        <v>190</v>
      </c>
      <c r="G262" s="10" t="s">
        <v>33</v>
      </c>
      <c r="H262" s="7">
        <v>157.51</v>
      </c>
      <c r="I262" s="10"/>
      <c r="J262" s="14">
        <v>-157.51</v>
      </c>
      <c r="K262" s="14">
        <v>-66702.15</v>
      </c>
    </row>
    <row r="263" ht="15.75" customHeight="1" outlineLevel="3">
      <c r="B263" s="10" t="s">
        <v>137</v>
      </c>
      <c r="C263" s="10" t="s">
        <v>78</v>
      </c>
      <c r="D263" s="10" t="s">
        <v>62</v>
      </c>
      <c r="E263" s="10" t="s">
        <v>86</v>
      </c>
      <c r="F263" s="10" t="s">
        <v>87</v>
      </c>
      <c r="G263" s="10" t="s">
        <v>8</v>
      </c>
      <c r="H263" s="7">
        <v>2785.2</v>
      </c>
      <c r="I263" s="10"/>
      <c r="J263" s="14">
        <v>-2785.2</v>
      </c>
      <c r="K263" s="14">
        <v>-69487.34999999999</v>
      </c>
    </row>
    <row r="264" ht="15.75" customHeight="1" outlineLevel="2">
      <c r="A264" s="15" t="s">
        <v>314</v>
      </c>
      <c r="B264" s="4"/>
      <c r="C264" s="4"/>
      <c r="D264" s="4"/>
      <c r="E264" s="4"/>
      <c r="F264" s="4"/>
      <c r="G264" s="4"/>
      <c r="H264" s="4"/>
      <c r="I264" s="4"/>
      <c r="J264" s="16">
        <f>J255+J256+J257+J258+J259+J260+J261+J262+J263</f>
        <v>-5942.36</v>
      </c>
      <c r="K264" s="4"/>
    </row>
    <row r="265" ht="15.75" customHeight="1" outlineLevel="2">
      <c r="A265" s="13" t="s">
        <v>52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 outlineLevel="3">
      <c r="B266" s="10" t="s">
        <v>73</v>
      </c>
      <c r="C266" s="4"/>
      <c r="D266" s="4"/>
      <c r="E266" s="4"/>
      <c r="F266" s="4"/>
      <c r="G266" s="4"/>
      <c r="H266" s="4"/>
      <c r="I266" s="4"/>
      <c r="J266" s="4"/>
      <c r="K266" s="14">
        <v>-968.32</v>
      </c>
    </row>
    <row r="267" ht="15.75" customHeight="1" outlineLevel="3">
      <c r="A267" s="15" t="s">
        <v>54</v>
      </c>
      <c r="B267" s="4"/>
      <c r="C267" s="4"/>
      <c r="D267" s="4"/>
      <c r="E267" s="4"/>
      <c r="F267" s="4"/>
      <c r="G267" s="4"/>
      <c r="H267" s="4"/>
      <c r="I267" s="4"/>
      <c r="J267" s="17"/>
      <c r="K267" s="4"/>
    </row>
    <row r="268" ht="15.75" customHeight="1" outlineLevel="3">
      <c r="A268" s="13" t="s">
        <v>53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 outlineLevel="4">
      <c r="B269" s="10" t="s">
        <v>151</v>
      </c>
      <c r="C269" s="10" t="s">
        <v>78</v>
      </c>
      <c r="D269" s="10" t="s">
        <v>62</v>
      </c>
      <c r="E269" s="10" t="s">
        <v>154</v>
      </c>
      <c r="F269" s="10" t="s">
        <v>315</v>
      </c>
      <c r="G269" s="10" t="s">
        <v>8</v>
      </c>
      <c r="H269" s="7">
        <v>594.21</v>
      </c>
      <c r="I269" s="10"/>
      <c r="J269" s="14">
        <v>-594.21</v>
      </c>
      <c r="K269" s="14">
        <v>-594.21</v>
      </c>
    </row>
    <row r="270" ht="15.75" customHeight="1" outlineLevel="3">
      <c r="A270" s="15" t="s">
        <v>316</v>
      </c>
      <c r="B270" s="4"/>
      <c r="C270" s="4"/>
      <c r="D270" s="4"/>
      <c r="E270" s="4"/>
      <c r="F270" s="4"/>
      <c r="G270" s="4"/>
      <c r="H270" s="4"/>
      <c r="I270" s="4"/>
      <c r="J270" s="16">
        <f>J268+J269</f>
        <v>-594.21</v>
      </c>
      <c r="K270" s="4"/>
    </row>
    <row r="271" ht="15.75" customHeight="1" outlineLevel="2">
      <c r="A271" s="15" t="s">
        <v>317</v>
      </c>
      <c r="B271" s="4"/>
      <c r="C271" s="4"/>
      <c r="D271" s="4"/>
      <c r="E271" s="4"/>
      <c r="F271" s="4"/>
      <c r="G271" s="4"/>
      <c r="H271" s="4"/>
      <c r="I271" s="4"/>
      <c r="J271" s="16">
        <f>J270</f>
        <v>-594.21</v>
      </c>
      <c r="K271" s="4"/>
    </row>
    <row r="272" ht="15.75" customHeight="1" outlineLevel="2">
      <c r="A272" s="13" t="s">
        <v>49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 outlineLevel="3">
      <c r="B273" s="10" t="s">
        <v>73</v>
      </c>
      <c r="C273" s="4"/>
      <c r="D273" s="4"/>
      <c r="E273" s="4"/>
      <c r="F273" s="4"/>
      <c r="G273" s="4"/>
      <c r="H273" s="4"/>
      <c r="I273" s="4"/>
      <c r="J273" s="4"/>
      <c r="K273" s="14">
        <v>-2000.0</v>
      </c>
    </row>
    <row r="274" ht="15.75" customHeight="1" outlineLevel="2">
      <c r="A274" s="15" t="s">
        <v>318</v>
      </c>
      <c r="B274" s="4"/>
      <c r="C274" s="4"/>
      <c r="D274" s="4"/>
      <c r="E274" s="4"/>
      <c r="F274" s="4"/>
      <c r="G274" s="4"/>
      <c r="H274" s="4"/>
      <c r="I274" s="4"/>
      <c r="J274" s="17"/>
      <c r="K274" s="4"/>
    </row>
    <row r="275" ht="15.75" customHeight="1" outlineLevel="2">
      <c r="A275" s="13" t="s">
        <v>50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 outlineLevel="3">
      <c r="B276" s="10" t="s">
        <v>73</v>
      </c>
      <c r="C276" s="4"/>
      <c r="D276" s="4"/>
      <c r="E276" s="4"/>
      <c r="F276" s="4"/>
      <c r="G276" s="4"/>
      <c r="H276" s="4"/>
      <c r="I276" s="4"/>
      <c r="J276" s="4"/>
      <c r="K276" s="7">
        <v>161057.16</v>
      </c>
    </row>
    <row r="277" ht="15.75" customHeight="1" outlineLevel="2">
      <c r="A277" s="15" t="s">
        <v>319</v>
      </c>
      <c r="B277" s="4"/>
      <c r="C277" s="4"/>
      <c r="D277" s="4"/>
      <c r="E277" s="4"/>
      <c r="F277" s="4"/>
      <c r="G277" s="4"/>
      <c r="H277" s="4"/>
      <c r="I277" s="4"/>
      <c r="J277" s="17"/>
      <c r="K277" s="4"/>
    </row>
    <row r="278" ht="15.75" customHeight="1" outlineLevel="1">
      <c r="A278" s="15" t="s">
        <v>320</v>
      </c>
      <c r="B278" s="4"/>
      <c r="C278" s="4"/>
      <c r="D278" s="4"/>
      <c r="E278" s="4"/>
      <c r="F278" s="4"/>
      <c r="G278" s="4"/>
      <c r="H278" s="4"/>
      <c r="I278" s="4"/>
      <c r="J278" s="9">
        <f>J252+J253+J254+J264+J267+J271+J274+J277</f>
        <v>31644.98</v>
      </c>
      <c r="K278" s="4"/>
    </row>
    <row r="279" ht="15.75" customHeight="1">
      <c r="A279" s="15" t="s">
        <v>321</v>
      </c>
      <c r="B279" s="4"/>
      <c r="C279" s="4"/>
      <c r="D279" s="4"/>
      <c r="E279" s="4"/>
      <c r="F279" s="4"/>
      <c r="G279" s="4"/>
      <c r="H279" s="4"/>
      <c r="I279" s="4"/>
      <c r="J279" s="9">
        <f>J251+J278</f>
        <v>27797.61</v>
      </c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11" t="s">
        <v>59</v>
      </c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283:K28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 outlineLevelRow="5"/>
  <cols>
    <col customWidth="1" min="1" max="1" width="38.44"/>
    <col customWidth="1" min="2" max="2" width="10.44"/>
    <col customWidth="1" min="3" max="3" width="11.0"/>
    <col customWidth="1" min="4" max="4" width="9.22"/>
    <col customWidth="1" min="5" max="5" width="8.0"/>
    <col customWidth="1" min="6" max="6" width="7.67"/>
    <col customWidth="1" min="7" max="7" width="8.22"/>
    <col customWidth="1" min="8" max="8" width="7.67"/>
    <col customWidth="1" min="9" max="9" width="9.78"/>
    <col customWidth="1" min="10" max="10" width="12.67"/>
    <col customWidth="1" min="11" max="11" width="10.44"/>
    <col customWidth="1" min="12" max="12" width="12.0"/>
    <col customWidth="1" min="13" max="13" width="12.11"/>
  </cols>
  <sheetData>
    <row r="1" ht="15.75" customHeight="1">
      <c r="A1" s="1" t="s">
        <v>322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5" t="s">
        <v>3</v>
      </c>
      <c r="B5" s="5" t="s">
        <v>323</v>
      </c>
      <c r="C5" s="5" t="s">
        <v>324</v>
      </c>
      <c r="D5" s="5" t="s">
        <v>325</v>
      </c>
      <c r="E5" s="5" t="s">
        <v>326</v>
      </c>
      <c r="F5" s="5" t="s">
        <v>327</v>
      </c>
      <c r="G5" s="5" t="s">
        <v>328</v>
      </c>
      <c r="H5" s="5" t="s">
        <v>329</v>
      </c>
      <c r="I5" s="5" t="s">
        <v>330</v>
      </c>
      <c r="J5" s="5" t="s">
        <v>331</v>
      </c>
      <c r="K5" s="5" t="s">
        <v>332</v>
      </c>
      <c r="L5" s="5" t="s">
        <v>333</v>
      </c>
      <c r="M5" s="5" t="s">
        <v>61</v>
      </c>
    </row>
    <row r="6" ht="15.75" customHeight="1">
      <c r="A6" s="6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15.75" customHeight="1" outlineLevel="1">
      <c r="A7" s="6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.75" customHeight="1" outlineLevel="2">
      <c r="A8" s="6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.75" customHeight="1" outlineLevel="3">
      <c r="A9" s="6" t="s">
        <v>8</v>
      </c>
      <c r="B9" s="7">
        <v>18903.569999999996</v>
      </c>
      <c r="C9" s="7">
        <v>25306.369999999995</v>
      </c>
      <c r="D9" s="7">
        <v>12594.029999999995</v>
      </c>
      <c r="E9" s="7">
        <v>44805.479999999996</v>
      </c>
      <c r="F9" s="7">
        <v>32384.369999999995</v>
      </c>
      <c r="G9" s="7">
        <v>48002.17999999999</v>
      </c>
      <c r="H9" s="7">
        <v>32400.899999999994</v>
      </c>
      <c r="I9" s="7">
        <v>21425.869999999995</v>
      </c>
      <c r="J9" s="7">
        <v>29315.939999999995</v>
      </c>
      <c r="K9" s="7">
        <v>43035.049999999996</v>
      </c>
      <c r="L9" s="7">
        <v>47203.409999999996</v>
      </c>
      <c r="M9" s="7">
        <v>37520.619999999995</v>
      </c>
    </row>
    <row r="10" ht="15.75" customHeight="1" outlineLevel="2">
      <c r="A10" s="8" t="s">
        <v>9</v>
      </c>
      <c r="B10" s="17">
        <f t="shared" ref="B10:M10" si="1">B8+B9</f>
        <v>18903.57</v>
      </c>
      <c r="C10" s="17">
        <f t="shared" si="1"/>
        <v>25306.37</v>
      </c>
      <c r="D10" s="17">
        <f t="shared" si="1"/>
        <v>12594.03</v>
      </c>
      <c r="E10" s="17">
        <f t="shared" si="1"/>
        <v>44805.48</v>
      </c>
      <c r="F10" s="17">
        <f t="shared" si="1"/>
        <v>32384.37</v>
      </c>
      <c r="G10" s="17">
        <f t="shared" si="1"/>
        <v>48002.18</v>
      </c>
      <c r="H10" s="17">
        <f t="shared" si="1"/>
        <v>32400.9</v>
      </c>
      <c r="I10" s="17">
        <f t="shared" si="1"/>
        <v>21425.87</v>
      </c>
      <c r="J10" s="17">
        <f t="shared" si="1"/>
        <v>29315.94</v>
      </c>
      <c r="K10" s="17">
        <f t="shared" si="1"/>
        <v>43035.05</v>
      </c>
      <c r="L10" s="17">
        <f t="shared" si="1"/>
        <v>47203.41</v>
      </c>
      <c r="M10" s="17">
        <f t="shared" si="1"/>
        <v>37520.62</v>
      </c>
    </row>
    <row r="11" ht="15.75" customHeight="1" outlineLevel="2">
      <c r="A11" s="6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.75" customHeight="1" outlineLevel="3">
      <c r="A12" s="6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.75" customHeight="1" outlineLevel="4">
      <c r="A13" s="6" t="s">
        <v>12</v>
      </c>
      <c r="B13" s="7">
        <v>-25263.16</v>
      </c>
      <c r="C13" s="7">
        <v>-25263.16</v>
      </c>
      <c r="D13" s="7">
        <v>-25263.16</v>
      </c>
      <c r="E13" s="7">
        <v>-25263.16</v>
      </c>
      <c r="F13" s="7">
        <v>-25263.16</v>
      </c>
      <c r="G13" s="7">
        <v>-25263.16</v>
      </c>
      <c r="H13" s="7">
        <v>-25263.16</v>
      </c>
      <c r="I13" s="7">
        <v>-25263.16</v>
      </c>
      <c r="J13" s="7">
        <v>-25263.16</v>
      </c>
      <c r="K13" s="7">
        <v>-25263.16</v>
      </c>
      <c r="L13" s="7">
        <v>-25263.16</v>
      </c>
      <c r="M13" s="7">
        <v>-50526.32</v>
      </c>
    </row>
    <row r="14" ht="15.75" customHeight="1" outlineLevel="4">
      <c r="A14" s="6" t="s">
        <v>13</v>
      </c>
      <c r="B14" s="7">
        <v>80000.0</v>
      </c>
      <c r="C14" s="7">
        <v>80000.0</v>
      </c>
      <c r="D14" s="7">
        <v>80000.0</v>
      </c>
      <c r="E14" s="7">
        <v>80000.0</v>
      </c>
      <c r="F14" s="7">
        <v>80000.0</v>
      </c>
      <c r="G14" s="7">
        <v>80000.0</v>
      </c>
      <c r="H14" s="7">
        <v>80000.0</v>
      </c>
      <c r="I14" s="7">
        <v>80000.0</v>
      </c>
      <c r="J14" s="7">
        <v>80000.0</v>
      </c>
      <c r="K14" s="7">
        <v>80000.0</v>
      </c>
      <c r="L14" s="7">
        <v>80000.0</v>
      </c>
      <c r="M14" s="7">
        <v>80000.0</v>
      </c>
    </row>
    <row r="15" ht="15.75" customHeight="1" outlineLevel="3">
      <c r="A15" s="8" t="s">
        <v>14</v>
      </c>
      <c r="B15" s="17">
        <f t="shared" ref="B15:M15" si="2">B12+B13+B14</f>
        <v>54736.84</v>
      </c>
      <c r="C15" s="17">
        <f t="shared" si="2"/>
        <v>54736.84</v>
      </c>
      <c r="D15" s="17">
        <f t="shared" si="2"/>
        <v>54736.84</v>
      </c>
      <c r="E15" s="17">
        <f t="shared" si="2"/>
        <v>54736.84</v>
      </c>
      <c r="F15" s="17">
        <f t="shared" si="2"/>
        <v>54736.84</v>
      </c>
      <c r="G15" s="17">
        <f t="shared" si="2"/>
        <v>54736.84</v>
      </c>
      <c r="H15" s="17">
        <f t="shared" si="2"/>
        <v>54736.84</v>
      </c>
      <c r="I15" s="17">
        <f t="shared" si="2"/>
        <v>54736.84</v>
      </c>
      <c r="J15" s="17">
        <f t="shared" si="2"/>
        <v>54736.84</v>
      </c>
      <c r="K15" s="17">
        <f t="shared" si="2"/>
        <v>54736.84</v>
      </c>
      <c r="L15" s="17">
        <f t="shared" si="2"/>
        <v>54736.84</v>
      </c>
      <c r="M15" s="17">
        <f t="shared" si="2"/>
        <v>29473.68</v>
      </c>
    </row>
    <row r="16" ht="15.75" customHeight="1" outlineLevel="3">
      <c r="A16" s="6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15.75" customHeight="1" outlineLevel="4">
      <c r="A17" s="6" t="s">
        <v>16</v>
      </c>
      <c r="B17" s="7">
        <v>15772.74</v>
      </c>
      <c r="C17" s="7">
        <v>15772.74</v>
      </c>
      <c r="D17" s="7">
        <v>15772.74</v>
      </c>
      <c r="E17" s="7">
        <v>15772.74</v>
      </c>
      <c r="F17" s="7">
        <v>15772.74</v>
      </c>
      <c r="G17" s="7">
        <v>15772.74</v>
      </c>
      <c r="H17" s="7">
        <v>15772.74</v>
      </c>
      <c r="I17" s="7">
        <v>15772.74</v>
      </c>
      <c r="J17" s="7">
        <v>15772.74</v>
      </c>
      <c r="K17" s="7">
        <v>15772.74</v>
      </c>
      <c r="L17" s="7">
        <v>15772.74</v>
      </c>
      <c r="M17" s="7">
        <v>40351.0</v>
      </c>
    </row>
    <row r="18" ht="15.75" customHeight="1" outlineLevel="4">
      <c r="A18" s="6" t="s">
        <v>17</v>
      </c>
      <c r="B18" s="7">
        <v>17036.07</v>
      </c>
      <c r="C18" s="7">
        <v>17036.07</v>
      </c>
      <c r="D18" s="7">
        <v>17036.07</v>
      </c>
      <c r="E18" s="7">
        <v>17036.07</v>
      </c>
      <c r="F18" s="7">
        <v>17036.07</v>
      </c>
      <c r="G18" s="7">
        <v>17036.07</v>
      </c>
      <c r="H18" s="7">
        <v>17036.07</v>
      </c>
      <c r="I18" s="7">
        <v>17036.07</v>
      </c>
      <c r="J18" s="7">
        <v>17036.07</v>
      </c>
      <c r="K18" s="7">
        <v>17036.07</v>
      </c>
      <c r="L18" s="7">
        <v>17036.07</v>
      </c>
      <c r="M18" s="7">
        <v>10088.2</v>
      </c>
    </row>
    <row r="19" ht="15.75" customHeight="1" outlineLevel="3">
      <c r="A19" s="8" t="s">
        <v>18</v>
      </c>
      <c r="B19" s="17">
        <f t="shared" ref="B19:M19" si="3">B16+B17+B18</f>
        <v>32808.81</v>
      </c>
      <c r="C19" s="17">
        <f t="shared" si="3"/>
        <v>32808.81</v>
      </c>
      <c r="D19" s="17">
        <f t="shared" si="3"/>
        <v>32808.81</v>
      </c>
      <c r="E19" s="17">
        <f t="shared" si="3"/>
        <v>32808.81</v>
      </c>
      <c r="F19" s="17">
        <f t="shared" si="3"/>
        <v>32808.81</v>
      </c>
      <c r="G19" s="17">
        <f t="shared" si="3"/>
        <v>32808.81</v>
      </c>
      <c r="H19" s="17">
        <f t="shared" si="3"/>
        <v>32808.81</v>
      </c>
      <c r="I19" s="17">
        <f t="shared" si="3"/>
        <v>32808.81</v>
      </c>
      <c r="J19" s="17">
        <f t="shared" si="3"/>
        <v>32808.81</v>
      </c>
      <c r="K19" s="17">
        <f t="shared" si="3"/>
        <v>32808.81</v>
      </c>
      <c r="L19" s="17">
        <f t="shared" si="3"/>
        <v>32808.81</v>
      </c>
      <c r="M19" s="17">
        <f t="shared" si="3"/>
        <v>50439.2</v>
      </c>
    </row>
    <row r="20" ht="15.75" customHeight="1" outlineLevel="3">
      <c r="A20" s="6" t="s">
        <v>19</v>
      </c>
      <c r="B20" s="10"/>
      <c r="C20" s="10"/>
      <c r="D20" s="10"/>
      <c r="E20" s="10"/>
      <c r="F20" s="10"/>
      <c r="G20" s="10"/>
      <c r="H20" s="10"/>
      <c r="I20" s="10"/>
      <c r="J20" s="10"/>
      <c r="K20" s="7">
        <v>2388.56</v>
      </c>
      <c r="L20" s="7">
        <v>-773.0999999999999</v>
      </c>
      <c r="M20" s="7">
        <v>244.91000000000008</v>
      </c>
    </row>
    <row r="21" ht="15.75" customHeight="1" outlineLevel="2">
      <c r="A21" s="8" t="s">
        <v>20</v>
      </c>
      <c r="B21" s="17">
        <f t="shared" ref="B21:M21" si="4">B11+B15+B19+B20</f>
        <v>87545.65</v>
      </c>
      <c r="C21" s="17">
        <f t="shared" si="4"/>
        <v>87545.65</v>
      </c>
      <c r="D21" s="17">
        <f t="shared" si="4"/>
        <v>87545.65</v>
      </c>
      <c r="E21" s="17">
        <f t="shared" si="4"/>
        <v>87545.65</v>
      </c>
      <c r="F21" s="17">
        <f t="shared" si="4"/>
        <v>87545.65</v>
      </c>
      <c r="G21" s="17">
        <f t="shared" si="4"/>
        <v>87545.65</v>
      </c>
      <c r="H21" s="17">
        <f t="shared" si="4"/>
        <v>87545.65</v>
      </c>
      <c r="I21" s="17">
        <f t="shared" si="4"/>
        <v>87545.65</v>
      </c>
      <c r="J21" s="17">
        <f t="shared" si="4"/>
        <v>87545.65</v>
      </c>
      <c r="K21" s="17">
        <f t="shared" si="4"/>
        <v>89934.21</v>
      </c>
      <c r="L21" s="17">
        <f t="shared" si="4"/>
        <v>86772.55</v>
      </c>
      <c r="M21" s="17">
        <f t="shared" si="4"/>
        <v>80157.79</v>
      </c>
    </row>
    <row r="22" ht="15.75" customHeight="1" outlineLevel="1">
      <c r="A22" s="8" t="s">
        <v>21</v>
      </c>
      <c r="B22" s="17">
        <f t="shared" ref="B22:M22" si="5">B7+B10+B21</f>
        <v>106449.22</v>
      </c>
      <c r="C22" s="17">
        <f t="shared" si="5"/>
        <v>112852.02</v>
      </c>
      <c r="D22" s="17">
        <f t="shared" si="5"/>
        <v>100139.68</v>
      </c>
      <c r="E22" s="17">
        <f t="shared" si="5"/>
        <v>132351.13</v>
      </c>
      <c r="F22" s="17">
        <f t="shared" si="5"/>
        <v>119930.02</v>
      </c>
      <c r="G22" s="17">
        <f t="shared" si="5"/>
        <v>135547.83</v>
      </c>
      <c r="H22" s="17">
        <f t="shared" si="5"/>
        <v>119946.55</v>
      </c>
      <c r="I22" s="17">
        <f t="shared" si="5"/>
        <v>108971.52</v>
      </c>
      <c r="J22" s="17">
        <f t="shared" si="5"/>
        <v>116861.59</v>
      </c>
      <c r="K22" s="17">
        <f t="shared" si="5"/>
        <v>132969.26</v>
      </c>
      <c r="L22" s="17">
        <f t="shared" si="5"/>
        <v>133975.96</v>
      </c>
      <c r="M22" s="17">
        <f t="shared" si="5"/>
        <v>117678.41</v>
      </c>
    </row>
    <row r="23" ht="15.75" customHeight="1" outlineLevel="1">
      <c r="A23" s="6" t="s">
        <v>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.75" customHeight="1" outlineLevel="2">
      <c r="A24" s="6" t="s">
        <v>23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.75" customHeight="1" outlineLevel="3">
      <c r="A25" s="6" t="s">
        <v>24</v>
      </c>
      <c r="B25" s="7">
        <v>-16864.42</v>
      </c>
      <c r="C25" s="7">
        <v>-16864.42</v>
      </c>
      <c r="D25" s="7">
        <v>-16864.42</v>
      </c>
      <c r="E25" s="7">
        <v>-16864.42</v>
      </c>
      <c r="F25" s="7">
        <v>-16864.42</v>
      </c>
      <c r="G25" s="7">
        <v>-16864.42</v>
      </c>
      <c r="H25" s="7">
        <v>-16864.42</v>
      </c>
      <c r="I25" s="7">
        <v>-16864.42</v>
      </c>
      <c r="J25" s="7">
        <v>-16864.42</v>
      </c>
      <c r="K25" s="7">
        <v>-16864.42</v>
      </c>
      <c r="L25" s="7">
        <v>-16864.42</v>
      </c>
      <c r="M25" s="7">
        <v>-33728.84</v>
      </c>
    </row>
    <row r="26" ht="15.75" customHeight="1" outlineLevel="3">
      <c r="A26" s="6" t="s">
        <v>25</v>
      </c>
      <c r="B26" s="7">
        <v>53404.0</v>
      </c>
      <c r="C26" s="7">
        <v>53404.0</v>
      </c>
      <c r="D26" s="7">
        <v>53404.0</v>
      </c>
      <c r="E26" s="7">
        <v>53404.0</v>
      </c>
      <c r="F26" s="7">
        <v>53404.0</v>
      </c>
      <c r="G26" s="7">
        <v>53404.0</v>
      </c>
      <c r="H26" s="7">
        <v>53404.0</v>
      </c>
      <c r="I26" s="7">
        <v>53404.0</v>
      </c>
      <c r="J26" s="7">
        <v>53404.0</v>
      </c>
      <c r="K26" s="7">
        <v>53404.0</v>
      </c>
      <c r="L26" s="7">
        <v>53404.0</v>
      </c>
      <c r="M26" s="7">
        <v>53404.0</v>
      </c>
    </row>
    <row r="27" ht="15.75" customHeight="1" outlineLevel="2">
      <c r="A27" s="8" t="s">
        <v>26</v>
      </c>
      <c r="B27" s="17">
        <f t="shared" ref="B27:M27" si="6">B24+B25+B26</f>
        <v>36539.58</v>
      </c>
      <c r="C27" s="17">
        <f t="shared" si="6"/>
        <v>36539.58</v>
      </c>
      <c r="D27" s="17">
        <f t="shared" si="6"/>
        <v>36539.58</v>
      </c>
      <c r="E27" s="17">
        <f t="shared" si="6"/>
        <v>36539.58</v>
      </c>
      <c r="F27" s="17">
        <f t="shared" si="6"/>
        <v>36539.58</v>
      </c>
      <c r="G27" s="17">
        <f t="shared" si="6"/>
        <v>36539.58</v>
      </c>
      <c r="H27" s="17">
        <f t="shared" si="6"/>
        <v>36539.58</v>
      </c>
      <c r="I27" s="17">
        <f t="shared" si="6"/>
        <v>36539.58</v>
      </c>
      <c r="J27" s="17">
        <f t="shared" si="6"/>
        <v>36539.58</v>
      </c>
      <c r="K27" s="17">
        <f t="shared" si="6"/>
        <v>36539.58</v>
      </c>
      <c r="L27" s="17">
        <f t="shared" si="6"/>
        <v>36539.58</v>
      </c>
      <c r="M27" s="17">
        <f t="shared" si="6"/>
        <v>19675.16</v>
      </c>
    </row>
    <row r="28" ht="15.75" customHeight="1" outlineLevel="1">
      <c r="A28" s="8" t="s">
        <v>27</v>
      </c>
      <c r="B28" s="17">
        <f t="shared" ref="B28:M28" si="7">B23+B27</f>
        <v>36539.58</v>
      </c>
      <c r="C28" s="17">
        <f t="shared" si="7"/>
        <v>36539.58</v>
      </c>
      <c r="D28" s="17">
        <f t="shared" si="7"/>
        <v>36539.58</v>
      </c>
      <c r="E28" s="17">
        <f t="shared" si="7"/>
        <v>36539.58</v>
      </c>
      <c r="F28" s="17">
        <f t="shared" si="7"/>
        <v>36539.58</v>
      </c>
      <c r="G28" s="17">
        <f t="shared" si="7"/>
        <v>36539.58</v>
      </c>
      <c r="H28" s="17">
        <f t="shared" si="7"/>
        <v>36539.58</v>
      </c>
      <c r="I28" s="17">
        <f t="shared" si="7"/>
        <v>36539.58</v>
      </c>
      <c r="J28" s="17">
        <f t="shared" si="7"/>
        <v>36539.58</v>
      </c>
      <c r="K28" s="17">
        <f t="shared" si="7"/>
        <v>36539.58</v>
      </c>
      <c r="L28" s="17">
        <f t="shared" si="7"/>
        <v>36539.58</v>
      </c>
      <c r="M28" s="17">
        <f t="shared" si="7"/>
        <v>19675.16</v>
      </c>
    </row>
    <row r="29" ht="15.75" customHeight="1">
      <c r="A29" s="8" t="s">
        <v>28</v>
      </c>
      <c r="B29" s="17">
        <f t="shared" ref="B29:M29" si="8">B22+B28</f>
        <v>142988.8</v>
      </c>
      <c r="C29" s="17">
        <f t="shared" si="8"/>
        <v>149391.6</v>
      </c>
      <c r="D29" s="17">
        <f t="shared" si="8"/>
        <v>136679.26</v>
      </c>
      <c r="E29" s="17">
        <f t="shared" si="8"/>
        <v>168890.71</v>
      </c>
      <c r="F29" s="17">
        <f t="shared" si="8"/>
        <v>156469.6</v>
      </c>
      <c r="G29" s="17">
        <f t="shared" si="8"/>
        <v>172087.41</v>
      </c>
      <c r="H29" s="17">
        <f t="shared" si="8"/>
        <v>156486.13</v>
      </c>
      <c r="I29" s="17">
        <f t="shared" si="8"/>
        <v>145511.1</v>
      </c>
      <c r="J29" s="17">
        <f t="shared" si="8"/>
        <v>153401.17</v>
      </c>
      <c r="K29" s="17">
        <f t="shared" si="8"/>
        <v>169508.84</v>
      </c>
      <c r="L29" s="17">
        <f t="shared" si="8"/>
        <v>170515.54</v>
      </c>
      <c r="M29" s="17">
        <f t="shared" si="8"/>
        <v>137353.57</v>
      </c>
    </row>
    <row r="30" ht="15.75" customHeight="1">
      <c r="A30" s="6" t="s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.75" customHeight="1" outlineLevel="1">
      <c r="A31" s="6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15.75" customHeight="1" outlineLevel="2">
      <c r="A32" s="6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ht="15.75" customHeight="1" outlineLevel="3">
      <c r="A33" s="6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ht="15.75" customHeight="1" outlineLevel="4">
      <c r="A34" s="6" t="s">
        <v>33</v>
      </c>
      <c r="B34" s="7">
        <v>2635.6899999999996</v>
      </c>
      <c r="C34" s="7">
        <v>3349.5799999999995</v>
      </c>
      <c r="D34" s="7">
        <v>5286.379999999999</v>
      </c>
      <c r="E34" s="7">
        <v>11752.849999999999</v>
      </c>
      <c r="F34" s="7">
        <v>14221.98</v>
      </c>
      <c r="G34" s="7">
        <v>5919.25</v>
      </c>
      <c r="H34" s="7">
        <v>-2810.6900000000005</v>
      </c>
      <c r="I34" s="7">
        <v>5785.439999999999</v>
      </c>
      <c r="J34" s="7">
        <v>2420.7499999999986</v>
      </c>
      <c r="K34" s="7">
        <v>-22.740000000001146</v>
      </c>
      <c r="L34" s="7">
        <v>3044.1899999999987</v>
      </c>
      <c r="M34" s="7">
        <v>4744.529999999999</v>
      </c>
    </row>
    <row r="35" ht="15.75" customHeight="1" outlineLevel="4">
      <c r="A35" s="6" t="s">
        <v>34</v>
      </c>
      <c r="B35" s="7">
        <v>337.0199999999968</v>
      </c>
      <c r="C35" s="7">
        <v>16136.029999999997</v>
      </c>
      <c r="D35" s="7">
        <v>2868.7499999999964</v>
      </c>
      <c r="E35" s="7">
        <v>24638.819999999996</v>
      </c>
      <c r="F35" s="7">
        <v>4662.7199999999975</v>
      </c>
      <c r="G35" s="7">
        <v>17655.609999999997</v>
      </c>
      <c r="H35" s="7">
        <v>14074.249999999996</v>
      </c>
      <c r="I35" s="7">
        <v>2857.449999999997</v>
      </c>
      <c r="J35" s="7">
        <v>1228.189999999997</v>
      </c>
      <c r="K35" s="7">
        <v>17983.55</v>
      </c>
      <c r="L35" s="7">
        <v>10593.599999999999</v>
      </c>
      <c r="M35" s="7">
        <v>4214.649999999999</v>
      </c>
    </row>
    <row r="36" ht="15.75" customHeight="1" outlineLevel="3">
      <c r="A36" s="8" t="s">
        <v>35</v>
      </c>
      <c r="B36" s="17">
        <f t="shared" ref="B36:M36" si="9">B33+B34+B35</f>
        <v>2972.71</v>
      </c>
      <c r="C36" s="17">
        <f t="shared" si="9"/>
        <v>19485.61</v>
      </c>
      <c r="D36" s="17">
        <f t="shared" si="9"/>
        <v>8155.13</v>
      </c>
      <c r="E36" s="17">
        <f t="shared" si="9"/>
        <v>36391.67</v>
      </c>
      <c r="F36" s="17">
        <f t="shared" si="9"/>
        <v>18884.7</v>
      </c>
      <c r="G36" s="17">
        <f t="shared" si="9"/>
        <v>23574.86</v>
      </c>
      <c r="H36" s="17">
        <f t="shared" si="9"/>
        <v>11263.56</v>
      </c>
      <c r="I36" s="17">
        <f t="shared" si="9"/>
        <v>8642.89</v>
      </c>
      <c r="J36" s="17">
        <f t="shared" si="9"/>
        <v>3648.94</v>
      </c>
      <c r="K36" s="17">
        <f t="shared" si="9"/>
        <v>17960.81</v>
      </c>
      <c r="L36" s="17">
        <f t="shared" si="9"/>
        <v>13637.79</v>
      </c>
      <c r="M36" s="17">
        <f t="shared" si="9"/>
        <v>8959.18</v>
      </c>
    </row>
    <row r="37" ht="15.75" customHeight="1" outlineLevel="3">
      <c r="A37" s="6" t="s">
        <v>36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ht="15.75" customHeight="1" outlineLevel="4">
      <c r="A38" s="6" t="s">
        <v>37</v>
      </c>
      <c r="B38" s="7">
        <v>0.0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</row>
    <row r="39" ht="15.75" customHeight="1" outlineLevel="4">
      <c r="A39" s="6" t="s">
        <v>38</v>
      </c>
      <c r="B39" s="7">
        <v>0.0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</row>
    <row r="40" ht="15.75" customHeight="1" outlineLevel="5">
      <c r="A40" s="6" t="s">
        <v>39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2681.82</v>
      </c>
      <c r="L40" s="7">
        <v>1471.2600000000002</v>
      </c>
      <c r="M40" s="7">
        <v>1471.2600000000002</v>
      </c>
    </row>
    <row r="41" ht="15.75" customHeight="1" outlineLevel="5">
      <c r="A41" s="6" t="s">
        <v>40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168.0</v>
      </c>
      <c r="L41" s="7">
        <v>168.0</v>
      </c>
      <c r="M41" s="7">
        <v>168.0</v>
      </c>
    </row>
    <row r="42" ht="15.75" customHeight="1" outlineLevel="5">
      <c r="A42" s="6" t="s">
        <v>41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-706.17</v>
      </c>
      <c r="L42" s="7">
        <v>-543.15</v>
      </c>
      <c r="M42" s="7">
        <v>474.86</v>
      </c>
    </row>
    <row r="43" ht="15.75" customHeight="1" outlineLevel="5">
      <c r="A43" s="6" t="s">
        <v>42</v>
      </c>
      <c r="B43" s="7">
        <v>0.0</v>
      </c>
      <c r="C43" s="7">
        <v>0.0</v>
      </c>
      <c r="D43" s="7">
        <v>16.66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-144.23</v>
      </c>
      <c r="L43" s="7">
        <v>-144.23</v>
      </c>
      <c r="M43" s="7">
        <v>-144.23</v>
      </c>
    </row>
    <row r="44" ht="15.75" customHeight="1" outlineLevel="4">
      <c r="A44" s="8" t="s">
        <v>43</v>
      </c>
      <c r="B44" s="17">
        <f t="shared" ref="B44:M44" si="10">B39+B40+B41+B42+B43</f>
        <v>0</v>
      </c>
      <c r="C44" s="17">
        <f t="shared" si="10"/>
        <v>0</v>
      </c>
      <c r="D44" s="17">
        <f t="shared" si="10"/>
        <v>16.66</v>
      </c>
      <c r="E44" s="17">
        <f t="shared" si="10"/>
        <v>0</v>
      </c>
      <c r="F44" s="17">
        <f t="shared" si="10"/>
        <v>0</v>
      </c>
      <c r="G44" s="17">
        <f t="shared" si="10"/>
        <v>0</v>
      </c>
      <c r="H44" s="17">
        <f t="shared" si="10"/>
        <v>0</v>
      </c>
      <c r="I44" s="17">
        <f t="shared" si="10"/>
        <v>0</v>
      </c>
      <c r="J44" s="17">
        <f t="shared" si="10"/>
        <v>0</v>
      </c>
      <c r="K44" s="17">
        <f t="shared" si="10"/>
        <v>1999.42</v>
      </c>
      <c r="L44" s="17">
        <f t="shared" si="10"/>
        <v>951.88</v>
      </c>
      <c r="M44" s="17">
        <f t="shared" si="10"/>
        <v>1969.89</v>
      </c>
    </row>
    <row r="45" ht="15.75" customHeight="1" outlineLevel="4">
      <c r="A45" s="6" t="s">
        <v>44</v>
      </c>
      <c r="B45" s="7">
        <v>180.43</v>
      </c>
      <c r="C45" s="7">
        <v>396.6</v>
      </c>
      <c r="D45" s="7">
        <v>183.63000000000002</v>
      </c>
      <c r="E45" s="7">
        <v>533.57</v>
      </c>
      <c r="F45" s="7">
        <v>408.14000000000004</v>
      </c>
      <c r="G45" s="7">
        <v>665.5600000000001</v>
      </c>
      <c r="H45" s="7">
        <v>326.26000000000005</v>
      </c>
      <c r="I45" s="7">
        <v>727.48</v>
      </c>
      <c r="J45" s="7">
        <v>495.0</v>
      </c>
      <c r="K45" s="7">
        <v>318.81</v>
      </c>
      <c r="L45" s="7">
        <v>422.44</v>
      </c>
      <c r="M45" s="7">
        <v>235.67</v>
      </c>
    </row>
    <row r="46" ht="15.75" customHeight="1" outlineLevel="3">
      <c r="A46" s="8" t="s">
        <v>45</v>
      </c>
      <c r="B46" s="17">
        <f t="shared" ref="B46:M46" si="11">B37+B38+B44+B45</f>
        <v>180.43</v>
      </c>
      <c r="C46" s="17">
        <f t="shared" si="11"/>
        <v>396.6</v>
      </c>
      <c r="D46" s="17">
        <f t="shared" si="11"/>
        <v>200.29</v>
      </c>
      <c r="E46" s="17">
        <f t="shared" si="11"/>
        <v>533.57</v>
      </c>
      <c r="F46" s="17">
        <f t="shared" si="11"/>
        <v>408.14</v>
      </c>
      <c r="G46" s="17">
        <f t="shared" si="11"/>
        <v>665.56</v>
      </c>
      <c r="H46" s="17">
        <f t="shared" si="11"/>
        <v>326.26</v>
      </c>
      <c r="I46" s="17">
        <f t="shared" si="11"/>
        <v>727.48</v>
      </c>
      <c r="J46" s="17">
        <f t="shared" si="11"/>
        <v>495</v>
      </c>
      <c r="K46" s="17">
        <f t="shared" si="11"/>
        <v>2318.23</v>
      </c>
      <c r="L46" s="17">
        <f t="shared" si="11"/>
        <v>1374.32</v>
      </c>
      <c r="M46" s="17">
        <f t="shared" si="11"/>
        <v>2205.56</v>
      </c>
    </row>
    <row r="47" ht="15.75" customHeight="1" outlineLevel="2">
      <c r="A47" s="8" t="s">
        <v>46</v>
      </c>
      <c r="B47" s="17">
        <f t="shared" ref="B47:M47" si="12">B32+B36+B46</f>
        <v>3153.14</v>
      </c>
      <c r="C47" s="17">
        <f t="shared" si="12"/>
        <v>19882.21</v>
      </c>
      <c r="D47" s="17">
        <f t="shared" si="12"/>
        <v>8355.42</v>
      </c>
      <c r="E47" s="17">
        <f t="shared" si="12"/>
        <v>36925.24</v>
      </c>
      <c r="F47" s="17">
        <f t="shared" si="12"/>
        <v>19292.84</v>
      </c>
      <c r="G47" s="17">
        <f t="shared" si="12"/>
        <v>24240.42</v>
      </c>
      <c r="H47" s="17">
        <f t="shared" si="12"/>
        <v>11589.82</v>
      </c>
      <c r="I47" s="17">
        <f t="shared" si="12"/>
        <v>9370.37</v>
      </c>
      <c r="J47" s="17">
        <f t="shared" si="12"/>
        <v>4143.94</v>
      </c>
      <c r="K47" s="17">
        <f t="shared" si="12"/>
        <v>20279.04</v>
      </c>
      <c r="L47" s="17">
        <f t="shared" si="12"/>
        <v>15012.11</v>
      </c>
      <c r="M47" s="17">
        <f t="shared" si="12"/>
        <v>11164.74</v>
      </c>
    </row>
    <row r="48" ht="15.75" customHeight="1" outlineLevel="1">
      <c r="A48" s="8" t="s">
        <v>47</v>
      </c>
      <c r="B48" s="17">
        <f t="shared" ref="B48:M48" si="13">B31+B47</f>
        <v>3153.14</v>
      </c>
      <c r="C48" s="17">
        <f t="shared" si="13"/>
        <v>19882.21</v>
      </c>
      <c r="D48" s="17">
        <f t="shared" si="13"/>
        <v>8355.42</v>
      </c>
      <c r="E48" s="17">
        <f t="shared" si="13"/>
        <v>36925.24</v>
      </c>
      <c r="F48" s="17">
        <f t="shared" si="13"/>
        <v>19292.84</v>
      </c>
      <c r="G48" s="17">
        <f t="shared" si="13"/>
        <v>24240.42</v>
      </c>
      <c r="H48" s="17">
        <f t="shared" si="13"/>
        <v>11589.82</v>
      </c>
      <c r="I48" s="17">
        <f t="shared" si="13"/>
        <v>9370.37</v>
      </c>
      <c r="J48" s="17">
        <f t="shared" si="13"/>
        <v>4143.94</v>
      </c>
      <c r="K48" s="17">
        <f t="shared" si="13"/>
        <v>20279.04</v>
      </c>
      <c r="L48" s="17">
        <f t="shared" si="13"/>
        <v>15012.11</v>
      </c>
      <c r="M48" s="17">
        <f t="shared" si="13"/>
        <v>11164.74</v>
      </c>
    </row>
    <row r="49" ht="15.75" customHeight="1" outlineLevel="1">
      <c r="A49" s="6" t="s">
        <v>48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ht="15.75" customHeight="1" outlineLevel="2">
      <c r="A50" s="6" t="s">
        <v>50</v>
      </c>
      <c r="B50" s="7">
        <v>152032.25</v>
      </c>
      <c r="C50" s="7">
        <v>151775.75</v>
      </c>
      <c r="D50" s="7">
        <v>151775.75</v>
      </c>
      <c r="E50" s="7">
        <v>151775.75</v>
      </c>
      <c r="F50" s="7">
        <v>151775.75</v>
      </c>
      <c r="G50" s="7">
        <v>152706.75</v>
      </c>
      <c r="H50" s="7">
        <v>160812.25</v>
      </c>
      <c r="I50" s="7">
        <v>160812.25</v>
      </c>
      <c r="J50" s="7">
        <v>160812.25</v>
      </c>
      <c r="K50" s="7">
        <v>161057.16</v>
      </c>
      <c r="L50" s="7">
        <v>161057.16</v>
      </c>
      <c r="M50" s="7">
        <v>161057.16</v>
      </c>
    </row>
    <row r="51" ht="15.75" customHeight="1" outlineLevel="2">
      <c r="A51" s="6" t="s">
        <v>51</v>
      </c>
      <c r="B51" s="7">
        <v>-17625.81</v>
      </c>
      <c r="C51" s="7">
        <v>-18532.640000000003</v>
      </c>
      <c r="D51" s="7">
        <v>-22784.97</v>
      </c>
      <c r="E51" s="7">
        <v>-25248.170000000002</v>
      </c>
      <c r="F51" s="7">
        <v>-29366.82</v>
      </c>
      <c r="G51" s="7">
        <v>-31634.559999999998</v>
      </c>
      <c r="H51" s="7">
        <v>-47647.09</v>
      </c>
      <c r="I51" s="7">
        <v>-51679.719999999994</v>
      </c>
      <c r="J51" s="7">
        <v>-54138.59</v>
      </c>
      <c r="K51" s="7">
        <v>-62427.89</v>
      </c>
      <c r="L51" s="7">
        <v>-63544.99</v>
      </c>
      <c r="M51" s="7">
        <v>-69487.34999999999</v>
      </c>
    </row>
    <row r="52" ht="15.75" customHeight="1" outlineLevel="2">
      <c r="A52" s="6" t="s">
        <v>52</v>
      </c>
      <c r="B52" s="7">
        <v>-580.2</v>
      </c>
      <c r="C52" s="7">
        <v>-580.2</v>
      </c>
      <c r="D52" s="7">
        <v>-580.2</v>
      </c>
      <c r="E52" s="7">
        <v>-580.2</v>
      </c>
      <c r="F52" s="7">
        <v>-580.2</v>
      </c>
      <c r="G52" s="7">
        <v>-580.2</v>
      </c>
      <c r="H52" s="7">
        <v>-580.2</v>
      </c>
      <c r="I52" s="7">
        <v>-596.2</v>
      </c>
      <c r="J52" s="7">
        <v>-720.24</v>
      </c>
      <c r="K52" s="7">
        <v>-844.28</v>
      </c>
      <c r="L52" s="7">
        <v>-968.3199999999999</v>
      </c>
      <c r="M52" s="7">
        <v>-968.3199999999999</v>
      </c>
    </row>
    <row r="53" ht="15.75" customHeight="1" outlineLevel="3">
      <c r="A53" s="6" t="s">
        <v>53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7">
        <v>-594.21</v>
      </c>
    </row>
    <row r="54" ht="15.75" customHeight="1" outlineLevel="2">
      <c r="A54" s="8" t="s">
        <v>54</v>
      </c>
      <c r="B54" s="17">
        <f t="shared" ref="B54:M54" si="14">B52+B53</f>
        <v>-580.2</v>
      </c>
      <c r="C54" s="17">
        <f t="shared" si="14"/>
        <v>-580.2</v>
      </c>
      <c r="D54" s="17">
        <f t="shared" si="14"/>
        <v>-580.2</v>
      </c>
      <c r="E54" s="17">
        <f t="shared" si="14"/>
        <v>-580.2</v>
      </c>
      <c r="F54" s="17">
        <f t="shared" si="14"/>
        <v>-580.2</v>
      </c>
      <c r="G54" s="17">
        <f t="shared" si="14"/>
        <v>-580.2</v>
      </c>
      <c r="H54" s="17">
        <f t="shared" si="14"/>
        <v>-580.2</v>
      </c>
      <c r="I54" s="17">
        <f t="shared" si="14"/>
        <v>-596.2</v>
      </c>
      <c r="J54" s="17">
        <f t="shared" si="14"/>
        <v>-720.24</v>
      </c>
      <c r="K54" s="17">
        <f t="shared" si="14"/>
        <v>-844.28</v>
      </c>
      <c r="L54" s="17">
        <f t="shared" si="14"/>
        <v>-968.32</v>
      </c>
      <c r="M54" s="17">
        <f t="shared" si="14"/>
        <v>-1562.53</v>
      </c>
    </row>
    <row r="55" ht="15.75" customHeight="1" outlineLevel="2">
      <c r="A55" s="6" t="s">
        <v>49</v>
      </c>
      <c r="B55" s="7">
        <v>-2000.0</v>
      </c>
      <c r="C55" s="7">
        <v>-2000.0</v>
      </c>
      <c r="D55" s="7">
        <v>-2000.0</v>
      </c>
      <c r="E55" s="7">
        <v>-2000.0</v>
      </c>
      <c r="F55" s="7">
        <v>-2000.0</v>
      </c>
      <c r="G55" s="7">
        <v>-2000.0</v>
      </c>
      <c r="H55" s="7">
        <v>-2000.0</v>
      </c>
      <c r="I55" s="7">
        <v>-2000.0</v>
      </c>
      <c r="J55" s="7">
        <v>-2000.0</v>
      </c>
      <c r="K55" s="7">
        <v>-2000.0</v>
      </c>
      <c r="L55" s="7">
        <v>-2000.0</v>
      </c>
      <c r="M55" s="7">
        <v>-2000.0</v>
      </c>
    </row>
    <row r="56" ht="15.75" customHeight="1" outlineLevel="2">
      <c r="A56" s="6" t="s">
        <v>55</v>
      </c>
      <c r="B56" s="7">
        <v>-13078.65</v>
      </c>
      <c r="C56" s="7">
        <v>-13078.65</v>
      </c>
      <c r="D56" s="7">
        <v>-13078.65</v>
      </c>
      <c r="E56" s="7">
        <v>-13078.65</v>
      </c>
      <c r="F56" s="7">
        <v>-13078.65</v>
      </c>
      <c r="G56" s="7">
        <v>-13078.65</v>
      </c>
      <c r="H56" s="7">
        <v>-13078.65</v>
      </c>
      <c r="I56" s="7">
        <v>-13078.65</v>
      </c>
      <c r="J56" s="7">
        <v>-13078.65</v>
      </c>
      <c r="K56" s="7">
        <v>-13078.65</v>
      </c>
      <c r="L56" s="7">
        <v>-13078.65</v>
      </c>
      <c r="M56" s="7">
        <v>-13078.65</v>
      </c>
    </row>
    <row r="57" ht="15.75" customHeight="1" outlineLevel="2">
      <c r="A57" s="6" t="s">
        <v>56</v>
      </c>
      <c r="B57" s="7">
        <v>21088.069999999996</v>
      </c>
      <c r="C57" s="7">
        <v>11925.13000000001</v>
      </c>
      <c r="D57" s="7">
        <v>14991.910000000014</v>
      </c>
      <c r="E57" s="7">
        <v>21096.740000000005</v>
      </c>
      <c r="F57" s="7">
        <v>30426.680000000008</v>
      </c>
      <c r="G57" s="7">
        <v>42433.65000000001</v>
      </c>
      <c r="H57" s="7">
        <v>47390.00000000001</v>
      </c>
      <c r="I57" s="7">
        <v>42683.050000000025</v>
      </c>
      <c r="J57" s="7">
        <v>58382.46000000002</v>
      </c>
      <c r="K57" s="7">
        <v>66523.46000000002</v>
      </c>
      <c r="L57" s="7">
        <v>74038.23000000003</v>
      </c>
      <c r="M57" s="7">
        <v>51260.200000000026</v>
      </c>
    </row>
    <row r="58" ht="15.75" customHeight="1" outlineLevel="1">
      <c r="A58" s="8" t="s">
        <v>57</v>
      </c>
      <c r="B58" s="17">
        <f t="shared" ref="B58:M58" si="15">B49+B50+B51+B54+B55+B56+B57</f>
        <v>139835.66</v>
      </c>
      <c r="C58" s="17">
        <f t="shared" si="15"/>
        <v>129509.39</v>
      </c>
      <c r="D58" s="17">
        <f t="shared" si="15"/>
        <v>128323.84</v>
      </c>
      <c r="E58" s="17">
        <f t="shared" si="15"/>
        <v>131965.47</v>
      </c>
      <c r="F58" s="17">
        <f t="shared" si="15"/>
        <v>137176.76</v>
      </c>
      <c r="G58" s="17">
        <f t="shared" si="15"/>
        <v>147846.99</v>
      </c>
      <c r="H58" s="17">
        <f t="shared" si="15"/>
        <v>144896.31</v>
      </c>
      <c r="I58" s="17">
        <f t="shared" si="15"/>
        <v>136140.73</v>
      </c>
      <c r="J58" s="17">
        <f t="shared" si="15"/>
        <v>149257.23</v>
      </c>
      <c r="K58" s="17">
        <f t="shared" si="15"/>
        <v>149229.8</v>
      </c>
      <c r="L58" s="17">
        <f t="shared" si="15"/>
        <v>155503.43</v>
      </c>
      <c r="M58" s="17">
        <f t="shared" si="15"/>
        <v>126188.83</v>
      </c>
    </row>
    <row r="59" ht="15.75" customHeight="1">
      <c r="A59" s="8" t="s">
        <v>58</v>
      </c>
      <c r="B59" s="17">
        <f t="shared" ref="B59:M59" si="16">B48+B58</f>
        <v>142988.8</v>
      </c>
      <c r="C59" s="17">
        <f t="shared" si="16"/>
        <v>149391.6</v>
      </c>
      <c r="D59" s="17">
        <f t="shared" si="16"/>
        <v>136679.26</v>
      </c>
      <c r="E59" s="17">
        <f t="shared" si="16"/>
        <v>168890.71</v>
      </c>
      <c r="F59" s="17">
        <f t="shared" si="16"/>
        <v>156469.6</v>
      </c>
      <c r="G59" s="17">
        <f t="shared" si="16"/>
        <v>172087.41</v>
      </c>
      <c r="H59" s="17">
        <f t="shared" si="16"/>
        <v>156486.13</v>
      </c>
      <c r="I59" s="17">
        <f t="shared" si="16"/>
        <v>145511.1</v>
      </c>
      <c r="J59" s="17">
        <f t="shared" si="16"/>
        <v>153401.17</v>
      </c>
      <c r="K59" s="17">
        <f t="shared" si="16"/>
        <v>169508.84</v>
      </c>
      <c r="L59" s="17">
        <f t="shared" si="16"/>
        <v>170515.54</v>
      </c>
      <c r="M59" s="17">
        <f t="shared" si="16"/>
        <v>137353.57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11" t="s">
        <v>334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4">
    <mergeCell ref="A1:M1"/>
    <mergeCell ref="A2:M2"/>
    <mergeCell ref="A3:M3"/>
    <mergeCell ref="A63:M6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4.11"/>
    <col customWidth="1" min="2" max="2" width="17.0"/>
    <col customWidth="1" min="3" max="3" width="11.0"/>
    <col customWidth="1" min="4" max="4" width="10.11"/>
    <col customWidth="1" min="5" max="6" width="11.22"/>
  </cols>
  <sheetData>
    <row r="1" ht="15.75" customHeight="1">
      <c r="A1" s="1" t="s">
        <v>335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A4" s="4"/>
      <c r="B4" s="4"/>
      <c r="C4" s="4"/>
      <c r="D4" s="4"/>
    </row>
    <row r="5" ht="15.75" customHeight="1">
      <c r="A5" s="5" t="s">
        <v>3</v>
      </c>
      <c r="B5" s="5" t="s">
        <v>4</v>
      </c>
      <c r="C5" s="18"/>
      <c r="D5" s="18"/>
    </row>
    <row r="6" ht="15.75" customHeight="1">
      <c r="A6" s="4"/>
      <c r="B6" s="19" t="s">
        <v>336</v>
      </c>
      <c r="C6" s="5" t="s">
        <v>337</v>
      </c>
      <c r="D6" s="5" t="s">
        <v>338</v>
      </c>
    </row>
    <row r="7" ht="15.75" customHeight="1">
      <c r="A7" s="6" t="s">
        <v>339</v>
      </c>
      <c r="B7" s="4"/>
      <c r="C7" s="4"/>
      <c r="D7" s="4"/>
    </row>
    <row r="8" ht="15.75" customHeight="1" outlineLevel="1">
      <c r="A8" s="6" t="s">
        <v>85</v>
      </c>
      <c r="B8" s="7">
        <v>335.0</v>
      </c>
      <c r="C8" s="20">
        <f>IFERROR(((B8/B54)*100),"")</f>
        <v>0.8343821226</v>
      </c>
      <c r="D8" s="20">
        <f>IFERROR(((B8/B11)*100),"")</f>
        <v>0.4315865715</v>
      </c>
    </row>
    <row r="9" ht="15.75" customHeight="1" outlineLevel="1">
      <c r="A9" s="6" t="s">
        <v>340</v>
      </c>
      <c r="B9" s="7">
        <v>2730.08</v>
      </c>
      <c r="C9" s="20">
        <f>IFERROR(((B9/B54)*100),"")</f>
        <v>6.799790881</v>
      </c>
      <c r="D9" s="20">
        <f>IFERROR(((B9/B11)*100),"")</f>
        <v>3.517211544</v>
      </c>
    </row>
    <row r="10" ht="15.75" customHeight="1" outlineLevel="1">
      <c r="A10" s="6" t="s">
        <v>77</v>
      </c>
      <c r="B10" s="7">
        <v>74555.5</v>
      </c>
      <c r="C10" s="20">
        <f>IFERROR(((B10/B54)*100),"")</f>
        <v>185.6948548</v>
      </c>
      <c r="D10" s="20">
        <f>IFERROR(((B10/B11)*100),"")</f>
        <v>96.05120188</v>
      </c>
    </row>
    <row r="11" ht="15.75" customHeight="1">
      <c r="A11" s="8" t="s">
        <v>341</v>
      </c>
      <c r="B11" s="9">
        <f>B8+B9+B10</f>
        <v>77620.58</v>
      </c>
      <c r="C11" s="21">
        <f>IFERROR(((B11/B54)*100),"")</f>
        <v>193.3290278</v>
      </c>
      <c r="D11" s="21">
        <f>IFERROR(((B11/B11)*100),"")</f>
        <v>100</v>
      </c>
    </row>
    <row r="12" ht="15.75" customHeight="1">
      <c r="A12" s="6" t="s">
        <v>342</v>
      </c>
      <c r="B12" s="4"/>
      <c r="C12" s="4"/>
      <c r="D12" s="4"/>
    </row>
    <row r="13" ht="15.75" customHeight="1" outlineLevel="1">
      <c r="A13" s="6" t="s">
        <v>343</v>
      </c>
      <c r="B13" s="10"/>
      <c r="C13" s="20">
        <f>IFERROR(((B13/B54)*100),"")</f>
        <v>0</v>
      </c>
      <c r="D13" s="20">
        <f>IFERROR(((B13/B11)*100),"")</f>
        <v>0</v>
      </c>
    </row>
    <row r="14" ht="15.75" customHeight="1" outlineLevel="2">
      <c r="A14" s="6" t="s">
        <v>183</v>
      </c>
      <c r="B14" s="7">
        <v>10154.74</v>
      </c>
      <c r="C14" s="20">
        <f>IFERROR(((B14/B54)*100),"")</f>
        <v>25.29233885</v>
      </c>
      <c r="D14" s="20">
        <f>IFERROR(((B14/B11)*100),"")</f>
        <v>13.08253559</v>
      </c>
    </row>
    <row r="15" ht="15.75" customHeight="1" outlineLevel="2">
      <c r="A15" s="6" t="s">
        <v>224</v>
      </c>
      <c r="B15" s="7">
        <v>8988.63</v>
      </c>
      <c r="C15" s="20">
        <f>IFERROR(((B15/B54)*100),"")</f>
        <v>22.38791695</v>
      </c>
      <c r="D15" s="20">
        <f>IFERROR(((B15/B11)*100),"")</f>
        <v>11.58021494</v>
      </c>
    </row>
    <row r="16" ht="15.75" customHeight="1" outlineLevel="1">
      <c r="A16" s="8" t="s">
        <v>344</v>
      </c>
      <c r="B16" s="9">
        <f>B13+B14+B15</f>
        <v>19143.37</v>
      </c>
      <c r="C16" s="21">
        <f>IFERROR(((B16/B54)*100),"")</f>
        <v>47.6802558</v>
      </c>
      <c r="D16" s="21">
        <f>IFERROR(((B16/B11)*100),"")</f>
        <v>24.66275052</v>
      </c>
    </row>
    <row r="17" ht="15.75" customHeight="1">
      <c r="A17" s="8" t="s">
        <v>345</v>
      </c>
      <c r="B17" s="9">
        <f>B16</f>
        <v>19143.37</v>
      </c>
      <c r="C17" s="21">
        <f>IFERROR(((B17/B54)*100),"")</f>
        <v>47.6802558</v>
      </c>
      <c r="D17" s="21">
        <f>IFERROR(((B17/B11)*100),"")</f>
        <v>24.66275052</v>
      </c>
    </row>
    <row r="18" ht="15.75" customHeight="1">
      <c r="A18" s="8" t="s">
        <v>346</v>
      </c>
      <c r="B18" s="9">
        <f>B11-B17</f>
        <v>58477.21</v>
      </c>
      <c r="C18" s="21">
        <f>IFERROR(((B18/B54)*100),"")</f>
        <v>145.648772</v>
      </c>
      <c r="D18" s="21">
        <f>IFERROR(((B18/B11)*100),"")</f>
        <v>75.33724948</v>
      </c>
    </row>
    <row r="19" ht="15.75" customHeight="1">
      <c r="A19" s="6" t="s">
        <v>347</v>
      </c>
      <c r="B19" s="4"/>
      <c r="C19" s="4"/>
      <c r="D19" s="4"/>
    </row>
    <row r="20" ht="15.75" customHeight="1" outlineLevel="1">
      <c r="A20" s="6" t="s">
        <v>218</v>
      </c>
      <c r="B20" s="7">
        <v>2349.72</v>
      </c>
      <c r="C20" s="20">
        <f>IFERROR(((B20/B54)*100),"")</f>
        <v>5.852430929</v>
      </c>
      <c r="D20" s="20">
        <f>IFERROR(((B20/B11)*100),"")</f>
        <v>3.027186862</v>
      </c>
    </row>
    <row r="21" ht="15.75" customHeight="1" outlineLevel="2">
      <c r="A21" s="6" t="s">
        <v>180</v>
      </c>
      <c r="B21" s="7">
        <v>3284.03</v>
      </c>
      <c r="C21" s="20">
        <f>IFERROR(((B21/B54)*100),"")</f>
        <v>8.179510215</v>
      </c>
      <c r="D21" s="20">
        <f>IFERROR(((B21/B11)*100),"")</f>
        <v>4.230875368</v>
      </c>
    </row>
    <row r="22" ht="15.75" customHeight="1" outlineLevel="1">
      <c r="A22" s="8" t="s">
        <v>348</v>
      </c>
      <c r="B22" s="9">
        <f>B20+B21</f>
        <v>5633.75</v>
      </c>
      <c r="C22" s="21">
        <f>IFERROR(((B22/B54)*100),"")</f>
        <v>14.03194114</v>
      </c>
      <c r="D22" s="21">
        <f>IFERROR(((B22/B11)*100),"")</f>
        <v>7.25806223</v>
      </c>
    </row>
    <row r="23" ht="15.75" customHeight="1" outlineLevel="1">
      <c r="A23" s="6" t="s">
        <v>92</v>
      </c>
      <c r="B23" s="7">
        <v>6516.93</v>
      </c>
      <c r="C23" s="20">
        <f>IFERROR(((B23/B54)*100),"")</f>
        <v>16.2316713</v>
      </c>
      <c r="D23" s="20">
        <f>IFERROR(((B23/B11)*100),"")</f>
        <v>8.395879031</v>
      </c>
    </row>
    <row r="24" ht="15.75" customHeight="1" outlineLevel="1">
      <c r="A24" s="6" t="s">
        <v>150</v>
      </c>
      <c r="B24" s="7">
        <v>1199.0</v>
      </c>
      <c r="C24" s="20">
        <f>IFERROR(((B24/B54)*100),"")</f>
        <v>2.986340791</v>
      </c>
      <c r="D24" s="20">
        <f>IFERROR(((B24/B11)*100),"")</f>
        <v>1.544693431</v>
      </c>
    </row>
    <row r="25" ht="15.75" customHeight="1" outlineLevel="1">
      <c r="A25" s="6" t="s">
        <v>101</v>
      </c>
      <c r="B25" s="7">
        <v>173.2</v>
      </c>
      <c r="C25" s="20">
        <f>IFERROR(((B25/B54)*100),"")</f>
        <v>0.4313880109</v>
      </c>
      <c r="D25" s="20">
        <f>IFERROR(((B25/B11)*100),"")</f>
        <v>0.2231366991</v>
      </c>
    </row>
    <row r="26" ht="15.75" customHeight="1" outlineLevel="1">
      <c r="A26" s="6" t="s">
        <v>119</v>
      </c>
      <c r="B26" s="7">
        <v>2827.73</v>
      </c>
      <c r="C26" s="20">
        <f>IFERROR(((B26/B54)*100),"")</f>
        <v>7.043007043</v>
      </c>
      <c r="D26" s="20">
        <f>IFERROR(((B26/B11)*100),"")</f>
        <v>3.643015808</v>
      </c>
    </row>
    <row r="27" ht="15.75" customHeight="1" outlineLevel="1">
      <c r="A27" s="6" t="s">
        <v>349</v>
      </c>
      <c r="B27" s="10"/>
      <c r="C27" s="20">
        <f>IFERROR(((B27/B54)*100),"")</f>
        <v>0</v>
      </c>
      <c r="D27" s="20">
        <f>IFERROR(((B27/B11)*100),"")</f>
        <v>0</v>
      </c>
    </row>
    <row r="28" ht="15.75" customHeight="1" outlineLevel="2">
      <c r="A28" s="6" t="s">
        <v>284</v>
      </c>
      <c r="B28" s="7">
        <v>112.12</v>
      </c>
      <c r="C28" s="20">
        <f>IFERROR(((B28/B54)*100),"")</f>
        <v>0.2792564883</v>
      </c>
      <c r="D28" s="20">
        <f>IFERROR(((B28/B11)*100),"")</f>
        <v>0.144446228</v>
      </c>
    </row>
    <row r="29" ht="15.75" customHeight="1" outlineLevel="2">
      <c r="A29" s="6" t="s">
        <v>278</v>
      </c>
      <c r="B29" s="7">
        <v>69.95</v>
      </c>
      <c r="C29" s="20">
        <f>IFERROR(((B29/B54)*100),"")</f>
        <v>0.1742239686</v>
      </c>
      <c r="D29" s="20">
        <f>IFERROR(((B29/B11)*100),"")</f>
        <v>0.09011785277</v>
      </c>
    </row>
    <row r="30" ht="15.75" customHeight="1" outlineLevel="2">
      <c r="A30" s="6" t="s">
        <v>140</v>
      </c>
      <c r="B30" s="7">
        <v>368.99</v>
      </c>
      <c r="C30" s="20">
        <f>IFERROR(((B30/B54)*100),"")</f>
        <v>0.9190407744</v>
      </c>
      <c r="D30" s="20">
        <f>IFERROR(((B30/B11)*100),"")</f>
        <v>0.4753765045</v>
      </c>
    </row>
    <row r="31" ht="15.75" customHeight="1" outlineLevel="1">
      <c r="A31" s="8" t="s">
        <v>350</v>
      </c>
      <c r="B31" s="9">
        <f>B27+B28+B29+B30</f>
        <v>551.06</v>
      </c>
      <c r="C31" s="21">
        <f>IFERROR(((B31/B54)*100),"")</f>
        <v>1.372521231</v>
      </c>
      <c r="D31" s="21">
        <f>IFERROR(((B31/B11)*100),"")</f>
        <v>0.7099405853</v>
      </c>
    </row>
    <row r="32" ht="15.75" customHeight="1" outlineLevel="1">
      <c r="A32" s="6" t="s">
        <v>146</v>
      </c>
      <c r="B32" s="7">
        <v>61.92</v>
      </c>
      <c r="C32" s="20">
        <f>IFERROR(((B32/B54)*100),"")</f>
        <v>0.1542237046</v>
      </c>
      <c r="D32" s="20">
        <f>IFERROR(((B32/B11)*100),"")</f>
        <v>0.07977265823</v>
      </c>
    </row>
    <row r="33" ht="15.75" customHeight="1" outlineLevel="1">
      <c r="A33" s="6" t="s">
        <v>351</v>
      </c>
      <c r="B33" s="10"/>
      <c r="C33" s="20">
        <f>IFERROR(((B33/B54)*100),"")</f>
        <v>0</v>
      </c>
      <c r="D33" s="20">
        <f>IFERROR(((B33/B11)*100),"")</f>
        <v>0</v>
      </c>
    </row>
    <row r="34" ht="15.75" customHeight="1" outlineLevel="2">
      <c r="A34" s="6" t="s">
        <v>81</v>
      </c>
      <c r="B34" s="7">
        <v>1180.0</v>
      </c>
      <c r="C34" s="20">
        <f>IFERROR(((B34/B54)*100),"")</f>
        <v>2.939017626</v>
      </c>
      <c r="D34" s="20">
        <f>IFERROR(((B34/B11)*100),"")</f>
        <v>1.520215386</v>
      </c>
    </row>
    <row r="35" ht="15.75" customHeight="1" outlineLevel="1">
      <c r="A35" s="8" t="s">
        <v>352</v>
      </c>
      <c r="B35" s="9">
        <f>B33+B34</f>
        <v>1180</v>
      </c>
      <c r="C35" s="21">
        <f>IFERROR(((B35/B54)*100),"")</f>
        <v>2.939017626</v>
      </c>
      <c r="D35" s="21">
        <f>IFERROR(((B35/B11)*100),"")</f>
        <v>1.520215386</v>
      </c>
    </row>
    <row r="36" ht="15.75" customHeight="1" outlineLevel="1">
      <c r="A36" s="6" t="s">
        <v>353</v>
      </c>
      <c r="B36" s="10"/>
      <c r="C36" s="20">
        <f>IFERROR(((B36/B54)*100),"")</f>
        <v>0</v>
      </c>
      <c r="D36" s="20">
        <f>IFERROR(((B36/B11)*100),"")</f>
        <v>0</v>
      </c>
    </row>
    <row r="37" ht="15.75" customHeight="1" outlineLevel="2">
      <c r="A37" s="6" t="s">
        <v>106</v>
      </c>
      <c r="B37" s="7">
        <v>411.76</v>
      </c>
      <c r="C37" s="20">
        <f>IFERROR(((B37/B54)*100),"")</f>
        <v>1.02556771</v>
      </c>
      <c r="D37" s="20">
        <f>IFERROR(((B37/B11)*100),"")</f>
        <v>0.5304778707</v>
      </c>
    </row>
    <row r="38" ht="15.75" customHeight="1" outlineLevel="2">
      <c r="A38" s="6" t="s">
        <v>300</v>
      </c>
      <c r="B38" s="7">
        <v>11.41</v>
      </c>
      <c r="C38" s="20">
        <f>IFERROR(((B38/B54)*100),"")</f>
        <v>0.02841880603</v>
      </c>
      <c r="D38" s="20">
        <f>IFERROR(((B38/B11)*100),"")</f>
        <v>0.01469970979</v>
      </c>
    </row>
    <row r="39" ht="15.75" customHeight="1" outlineLevel="2">
      <c r="A39" s="6" t="s">
        <v>254</v>
      </c>
      <c r="B39" s="7">
        <v>52.77</v>
      </c>
      <c r="C39" s="20">
        <f>IFERROR(((B39/B54)*100),"")</f>
        <v>0.1314338645</v>
      </c>
      <c r="D39" s="20">
        <f>IFERROR(((B39/B11)*100),"")</f>
        <v>0.0679845474</v>
      </c>
    </row>
    <row r="40" ht="15.75" customHeight="1" outlineLevel="2">
      <c r="A40" s="6" t="s">
        <v>95</v>
      </c>
      <c r="B40" s="7">
        <v>480.29</v>
      </c>
      <c r="C40" s="20">
        <f>IFERROR(((B40/B54)*100),"")</f>
        <v>1.196254895</v>
      </c>
      <c r="D40" s="20">
        <f>IFERROR(((B40/B11)*100),"")</f>
        <v>0.6187663117</v>
      </c>
    </row>
    <row r="41" ht="15.75" customHeight="1" outlineLevel="1">
      <c r="A41" s="8" t="s">
        <v>354</v>
      </c>
      <c r="B41" s="9">
        <f>B36+B37+B38+B39+B40</f>
        <v>956.23</v>
      </c>
      <c r="C41" s="21">
        <f>IFERROR(((B41/B54)*100),"")</f>
        <v>2.381675275</v>
      </c>
      <c r="D41" s="21">
        <f>IFERROR(((B41/B11)*100),"")</f>
        <v>1.23192844</v>
      </c>
    </row>
    <row r="42" ht="15.75" customHeight="1" outlineLevel="1">
      <c r="A42" s="6" t="s">
        <v>355</v>
      </c>
      <c r="B42" s="10"/>
      <c r="C42" s="20">
        <f>IFERROR(((B42/B54)*100),"")</f>
        <v>0</v>
      </c>
      <c r="D42" s="20">
        <f>IFERROR(((B42/B11)*100),"")</f>
        <v>0</v>
      </c>
    </row>
    <row r="43" ht="15.75" customHeight="1" outlineLevel="2">
      <c r="A43" s="6" t="s">
        <v>356</v>
      </c>
      <c r="B43" s="7">
        <v>3750.13</v>
      </c>
      <c r="C43" s="20">
        <f>IFERROR(((B43/B54)*100),"")</f>
        <v>9.340422177</v>
      </c>
      <c r="D43" s="20">
        <f>IFERROR(((B43/B11)*100),"")</f>
        <v>4.831360446</v>
      </c>
    </row>
    <row r="44" ht="15.75" customHeight="1" outlineLevel="2">
      <c r="A44" s="6" t="s">
        <v>112</v>
      </c>
      <c r="B44" s="7">
        <v>13960.55</v>
      </c>
      <c r="C44" s="20">
        <f>IFERROR(((B44/B54)*100),"")</f>
        <v>34.77144281</v>
      </c>
      <c r="D44" s="20">
        <f>IFERROR(((B44/B11)*100),"")</f>
        <v>17.98562958</v>
      </c>
    </row>
    <row r="45" ht="15.75" customHeight="1" outlineLevel="1">
      <c r="A45" s="8" t="s">
        <v>357</v>
      </c>
      <c r="B45" s="9">
        <f>B42+B43+B44</f>
        <v>17710.68</v>
      </c>
      <c r="C45" s="21">
        <f>IFERROR(((B45/B54)*100),"")</f>
        <v>44.11186499</v>
      </c>
      <c r="D45" s="21">
        <f>IFERROR(((B45/B11)*100),"")</f>
        <v>22.81699003</v>
      </c>
    </row>
    <row r="46" ht="15.75" customHeight="1" outlineLevel="1">
      <c r="A46" s="6" t="s">
        <v>282</v>
      </c>
      <c r="B46" s="7">
        <v>2242.48</v>
      </c>
      <c r="C46" s="20">
        <f>IFERROR(((B46/B54)*100),"")</f>
        <v>5.585329022</v>
      </c>
      <c r="D46" s="20">
        <f>IFERROR(((B46/B11)*100),"")</f>
        <v>2.889027626</v>
      </c>
    </row>
    <row r="47" ht="15.75" customHeight="1" outlineLevel="1">
      <c r="A47" s="6" t="s">
        <v>358</v>
      </c>
      <c r="B47" s="10"/>
      <c r="C47" s="20">
        <f>IFERROR(((B47/B54)*100),"")</f>
        <v>0</v>
      </c>
      <c r="D47" s="20">
        <f>IFERROR(((B47/B11)*100),"")</f>
        <v>0</v>
      </c>
    </row>
    <row r="48" ht="15.75" customHeight="1" outlineLevel="2">
      <c r="A48" s="6" t="s">
        <v>221</v>
      </c>
      <c r="B48" s="7">
        <v>505.0</v>
      </c>
      <c r="C48" s="20">
        <f>IFERROR(((B48/B54)*100),"")</f>
        <v>1.257799916</v>
      </c>
      <c r="D48" s="20">
        <f>IFERROR(((B48/B11)*100),"")</f>
        <v>0.6506006526</v>
      </c>
    </row>
    <row r="49" ht="15.75" customHeight="1" outlineLevel="1">
      <c r="A49" s="8" t="s">
        <v>359</v>
      </c>
      <c r="B49" s="9">
        <f>B47+B48</f>
        <v>505</v>
      </c>
      <c r="C49" s="21">
        <f>IFERROR(((B49/B54)*100),"")</f>
        <v>1.257799916</v>
      </c>
      <c r="D49" s="21">
        <f>IFERROR(((B49/B11)*100),"")</f>
        <v>0.6506006526</v>
      </c>
    </row>
    <row r="50" ht="15.75" customHeight="1" outlineLevel="1">
      <c r="A50" s="6" t="s">
        <v>136</v>
      </c>
      <c r="B50" s="7">
        <v>227.97</v>
      </c>
      <c r="C50" s="20">
        <f>IFERROR(((B50/B54)*100),"")</f>
        <v>0.5678032612</v>
      </c>
      <c r="D50" s="20">
        <f>IFERROR(((B50/B11)*100),"")</f>
        <v>0.2936978827</v>
      </c>
    </row>
    <row r="51" ht="15.75" customHeight="1" outlineLevel="2">
      <c r="A51" s="6" t="s">
        <v>228</v>
      </c>
      <c r="B51" s="7">
        <v>271.29</v>
      </c>
      <c r="C51" s="20">
        <f>IFERROR(((B51/B54)*100),"")</f>
        <v>0.6757000777</v>
      </c>
      <c r="D51" s="20">
        <f>IFERROR(((B51/B11)*100),"")</f>
        <v>0.3495078238</v>
      </c>
    </row>
    <row r="52" ht="15.75" customHeight="1" outlineLevel="2">
      <c r="A52" s="6" t="s">
        <v>257</v>
      </c>
      <c r="B52" s="7">
        <v>92.23</v>
      </c>
      <c r="C52" s="20">
        <f>IFERROR(((B52/B54)*100),"")</f>
        <v>0.2297166065</v>
      </c>
      <c r="D52" s="20">
        <f>IFERROR(((B52/B11)*100),"")</f>
        <v>0.1188215806</v>
      </c>
    </row>
    <row r="53" ht="15.75" customHeight="1" outlineLevel="1">
      <c r="A53" s="8" t="s">
        <v>360</v>
      </c>
      <c r="B53" s="9">
        <f>B50+B51+B52</f>
        <v>591.49</v>
      </c>
      <c r="C53" s="21">
        <f>IFERROR(((B53/B54)*100),"")</f>
        <v>1.473219945</v>
      </c>
      <c r="D53" s="21">
        <f>IFERROR(((B53/B11)*100),"")</f>
        <v>0.7620272871</v>
      </c>
    </row>
    <row r="54" ht="15.75" customHeight="1">
      <c r="A54" s="8" t="s">
        <v>361</v>
      </c>
      <c r="B54" s="9">
        <f>B22+B23+B24+B25+B26+B31+B32+B35+B41+B45+B46+B49+B53</f>
        <v>40149.47</v>
      </c>
      <c r="C54" s="21">
        <f>IFERROR(((B54/B54)*100),"")</f>
        <v>100</v>
      </c>
      <c r="D54" s="21">
        <f>IFERROR(((B54/B11)*100),"")</f>
        <v>51.72528987</v>
      </c>
    </row>
    <row r="55" ht="15.75" customHeight="1">
      <c r="A55" s="8" t="s">
        <v>362</v>
      </c>
      <c r="B55" s="9">
        <f>B18-B54</f>
        <v>18327.74</v>
      </c>
      <c r="C55" s="21">
        <f>IFERROR(((B55/B54)*100),"")</f>
        <v>45.64877195</v>
      </c>
      <c r="D55" s="21">
        <f>IFERROR(((B55/B11)*100),"")</f>
        <v>23.61195961</v>
      </c>
    </row>
    <row r="56" ht="15.75" customHeight="1">
      <c r="A56" s="6" t="s">
        <v>363</v>
      </c>
      <c r="B56" s="4"/>
      <c r="C56" s="4"/>
      <c r="D56" s="4"/>
    </row>
    <row r="57" ht="15.75" customHeight="1" outlineLevel="1">
      <c r="A57" s="6" t="s">
        <v>364</v>
      </c>
      <c r="B57" s="10"/>
      <c r="C57" s="20">
        <f>IFERROR(((B57/B54)*100),"")</f>
        <v>0</v>
      </c>
      <c r="D57" s="20">
        <f>IFERROR(((B57/B11)*100),"")</f>
        <v>0</v>
      </c>
    </row>
    <row r="58" ht="15.75" customHeight="1" outlineLevel="2">
      <c r="A58" s="6" t="s">
        <v>202</v>
      </c>
      <c r="B58" s="7">
        <v>70.47</v>
      </c>
      <c r="C58" s="20">
        <f>IFERROR(((B58/B54)*100),"")</f>
        <v>0.1755191289</v>
      </c>
      <c r="D58" s="20">
        <f>IFERROR(((B58/B11)*100),"")</f>
        <v>0.09078777819</v>
      </c>
    </row>
    <row r="59" ht="15.75" customHeight="1" outlineLevel="2">
      <c r="A59" s="6" t="s">
        <v>296</v>
      </c>
      <c r="B59" s="7">
        <v>909.5</v>
      </c>
      <c r="C59" s="20">
        <f>IFERROR(((B59/B54)*100),"")</f>
        <v>2.265285196</v>
      </c>
      <c r="D59" s="20">
        <f>IFERROR(((B59/B11)*100),"")</f>
        <v>1.171725334</v>
      </c>
    </row>
    <row r="60" ht="15.75" customHeight="1" outlineLevel="2">
      <c r="A60" s="6" t="s">
        <v>153</v>
      </c>
      <c r="B60" s="7">
        <v>41.84</v>
      </c>
      <c r="C60" s="20">
        <f>IFERROR(((B60/B54)*100),"")</f>
        <v>0.1042105911</v>
      </c>
      <c r="D60" s="20">
        <f>IFERROR(((B60/B11)*100),"")</f>
        <v>0.0539032303</v>
      </c>
    </row>
    <row r="61" ht="15.75" customHeight="1" outlineLevel="1">
      <c r="A61" s="8" t="s">
        <v>365</v>
      </c>
      <c r="B61" s="9">
        <f>B57+B58+B59+B60</f>
        <v>1021.81</v>
      </c>
      <c r="C61" s="21">
        <f>IFERROR(((B61/B54)*100),"")</f>
        <v>2.545014916</v>
      </c>
      <c r="D61" s="21">
        <f>IFERROR(((B61/B11)*100),"")</f>
        <v>1.316416342</v>
      </c>
    </row>
    <row r="62" ht="15.75" customHeight="1">
      <c r="A62" s="8" t="s">
        <v>366</v>
      </c>
      <c r="B62" s="9">
        <f>B61</f>
        <v>1021.81</v>
      </c>
      <c r="C62" s="21">
        <f>IFERROR(((B62/B54)*100),"")</f>
        <v>2.545014916</v>
      </c>
      <c r="D62" s="21">
        <f>IFERROR(((B62/B11)*100),"")</f>
        <v>1.316416342</v>
      </c>
    </row>
    <row r="63" ht="15.75" customHeight="1">
      <c r="A63" s="6" t="s">
        <v>367</v>
      </c>
      <c r="B63" s="4"/>
      <c r="C63" s="4"/>
      <c r="D63" s="4"/>
    </row>
    <row r="64" ht="15.75" customHeight="1" outlineLevel="1">
      <c r="A64" s="6" t="s">
        <v>368</v>
      </c>
      <c r="B64" s="7">
        <v>25263.16</v>
      </c>
      <c r="C64" s="20">
        <f>IFERROR(((B64/B54)*100),"")</f>
        <v>62.92277333</v>
      </c>
      <c r="D64" s="20">
        <f>IFERROR(((B64/B11)*100),"")</f>
        <v>32.54698689</v>
      </c>
    </row>
    <row r="65" ht="15.75" customHeight="1" outlineLevel="1">
      <c r="A65" s="6" t="s">
        <v>369</v>
      </c>
      <c r="B65" s="7">
        <v>16864.42</v>
      </c>
      <c r="C65" s="20">
        <f>IFERROR(((B65/B54)*100),"")</f>
        <v>42.00409121</v>
      </c>
      <c r="D65" s="20">
        <f>IFERROR(((B65/B11)*100),"")</f>
        <v>21.72673793</v>
      </c>
    </row>
    <row r="66" ht="15.75" customHeight="1">
      <c r="A66" s="8" t="s">
        <v>370</v>
      </c>
      <c r="B66" s="9">
        <f>B64+B65</f>
        <v>42127.58</v>
      </c>
      <c r="C66" s="21">
        <f>IFERROR(((B66/B54)*100),"")</f>
        <v>104.9268645</v>
      </c>
      <c r="D66" s="21">
        <f>IFERROR(((B66/B11)*100),"")</f>
        <v>54.27372483</v>
      </c>
    </row>
    <row r="67" ht="15.75" customHeight="1">
      <c r="A67" s="8" t="s">
        <v>371</v>
      </c>
      <c r="B67" s="9">
        <f>B62-B66</f>
        <v>-41105.77</v>
      </c>
      <c r="C67" s="21">
        <f>IFERROR(((B67/B54)*100),"")</f>
        <v>-102.3818496</v>
      </c>
      <c r="D67" s="21">
        <f>IFERROR(((B67/B11)*100),"")</f>
        <v>-52.95730849</v>
      </c>
    </row>
    <row r="68" ht="15.75" customHeight="1">
      <c r="A68" s="8" t="s">
        <v>56</v>
      </c>
      <c r="B68" s="9">
        <f>B55+B67</f>
        <v>-22778.03</v>
      </c>
      <c r="C68" s="21">
        <f>IFERROR(((B68/B54)*100),"")</f>
        <v>-56.73307767</v>
      </c>
      <c r="D68" s="21">
        <f>IFERROR(((B68/B11)*100),"")</f>
        <v>-29.34534888</v>
      </c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11" t="s">
        <v>372</v>
      </c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5">
    <mergeCell ref="A1:D1"/>
    <mergeCell ref="A2:D2"/>
    <mergeCell ref="A3:D3"/>
    <mergeCell ref="B5:D5"/>
    <mergeCell ref="A72:D7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4"/>
  <cols>
    <col customWidth="1" min="1" max="1" width="5.33"/>
    <col customWidth="1" min="2" max="2" width="13.0"/>
    <col customWidth="1" min="3" max="3" width="14.33"/>
    <col customWidth="1" min="4" max="4" width="7.44"/>
    <col customWidth="1" min="5" max="5" width="26.78"/>
    <col customWidth="1" min="6" max="6" width="7.44"/>
    <col customWidth="1" min="7" max="7" width="13.44"/>
    <col customWidth="1" min="8" max="8" width="51.78"/>
    <col customWidth="1" min="9" max="9" width="27.22"/>
    <col customWidth="1" min="10" max="11" width="16.11"/>
  </cols>
  <sheetData>
    <row r="1" ht="15.75" customHeight="1">
      <c r="A1" s="1" t="s">
        <v>373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374</v>
      </c>
      <c r="G5" s="5" t="s">
        <v>375</v>
      </c>
      <c r="H5" s="5" t="s">
        <v>67</v>
      </c>
      <c r="I5" s="5" t="s">
        <v>376</v>
      </c>
      <c r="J5" s="5" t="s">
        <v>71</v>
      </c>
      <c r="K5" s="5" t="s">
        <v>72</v>
      </c>
    </row>
    <row r="6" ht="15.75" customHeight="1">
      <c r="A6" s="13" t="s">
        <v>377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13" t="s">
        <v>339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 outlineLevel="2">
      <c r="A8" s="13" t="s">
        <v>85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ht="15.75" customHeight="1" outlineLevel="3">
      <c r="B9" s="10" t="s">
        <v>74</v>
      </c>
      <c r="C9" s="10" t="s">
        <v>75</v>
      </c>
      <c r="D9" s="10" t="s">
        <v>62</v>
      </c>
      <c r="E9" s="10" t="s">
        <v>83</v>
      </c>
      <c r="F9" s="10" t="s">
        <v>62</v>
      </c>
      <c r="G9" s="10" t="s">
        <v>62</v>
      </c>
      <c r="H9" s="10" t="s">
        <v>84</v>
      </c>
      <c r="I9" s="10" t="s">
        <v>8</v>
      </c>
      <c r="J9" s="7">
        <v>75.0</v>
      </c>
      <c r="K9" s="7">
        <v>75.0</v>
      </c>
    </row>
    <row r="10" ht="15.75" customHeight="1" outlineLevel="3">
      <c r="B10" s="10" t="s">
        <v>88</v>
      </c>
      <c r="C10" s="10" t="s">
        <v>75</v>
      </c>
      <c r="D10" s="10" t="s">
        <v>62</v>
      </c>
      <c r="E10" s="10" t="s">
        <v>62</v>
      </c>
      <c r="F10" s="10" t="s">
        <v>62</v>
      </c>
      <c r="G10" s="10" t="s">
        <v>62</v>
      </c>
      <c r="H10" s="10" t="s">
        <v>89</v>
      </c>
      <c r="I10" s="10" t="s">
        <v>8</v>
      </c>
      <c r="J10" s="7">
        <v>80.0</v>
      </c>
      <c r="K10" s="7">
        <v>155.0</v>
      </c>
    </row>
    <row r="11" ht="15.75" customHeight="1" outlineLevel="3">
      <c r="B11" s="10" t="s">
        <v>104</v>
      </c>
      <c r="C11" s="10" t="s">
        <v>75</v>
      </c>
      <c r="D11" s="10" t="s">
        <v>62</v>
      </c>
      <c r="E11" s="10" t="s">
        <v>108</v>
      </c>
      <c r="F11" s="10" t="s">
        <v>62</v>
      </c>
      <c r="G11" s="10" t="s">
        <v>62</v>
      </c>
      <c r="H11" s="10" t="s">
        <v>109</v>
      </c>
      <c r="I11" s="10" t="s">
        <v>8</v>
      </c>
      <c r="J11" s="7">
        <v>60.0</v>
      </c>
      <c r="K11" s="7">
        <v>215.0</v>
      </c>
    </row>
    <row r="12" ht="15.75" customHeight="1" outlineLevel="3">
      <c r="B12" s="10" t="s">
        <v>123</v>
      </c>
      <c r="C12" s="10" t="s">
        <v>75</v>
      </c>
      <c r="D12" s="10" t="s">
        <v>62</v>
      </c>
      <c r="E12" s="10" t="s">
        <v>108</v>
      </c>
      <c r="F12" s="10" t="s">
        <v>62</v>
      </c>
      <c r="G12" s="10" t="s">
        <v>62</v>
      </c>
      <c r="H12" s="10" t="s">
        <v>109</v>
      </c>
      <c r="I12" s="10" t="s">
        <v>8</v>
      </c>
      <c r="J12" s="7">
        <v>20.0</v>
      </c>
      <c r="K12" s="7">
        <v>235.0</v>
      </c>
    </row>
    <row r="13" ht="15.75" customHeight="1" outlineLevel="3">
      <c r="B13" s="10" t="s">
        <v>127</v>
      </c>
      <c r="C13" s="10" t="s">
        <v>75</v>
      </c>
      <c r="D13" s="10" t="s">
        <v>62</v>
      </c>
      <c r="E13" s="10" t="s">
        <v>129</v>
      </c>
      <c r="F13" s="10" t="s">
        <v>62</v>
      </c>
      <c r="G13" s="10" t="s">
        <v>62</v>
      </c>
      <c r="H13" s="10" t="s">
        <v>89</v>
      </c>
      <c r="I13" s="10" t="s">
        <v>8</v>
      </c>
      <c r="J13" s="7">
        <v>20.0</v>
      </c>
      <c r="K13" s="7">
        <v>255.0</v>
      </c>
    </row>
    <row r="14" ht="15.75" customHeight="1" outlineLevel="3">
      <c r="B14" s="10" t="s">
        <v>131</v>
      </c>
      <c r="C14" s="10" t="s">
        <v>75</v>
      </c>
      <c r="D14" s="10" t="s">
        <v>62</v>
      </c>
      <c r="E14" s="10" t="s">
        <v>108</v>
      </c>
      <c r="F14" s="10" t="s">
        <v>62</v>
      </c>
      <c r="G14" s="10" t="s">
        <v>62</v>
      </c>
      <c r="H14" s="10" t="s">
        <v>109</v>
      </c>
      <c r="I14" s="10" t="s">
        <v>8</v>
      </c>
      <c r="J14" s="7">
        <v>80.0</v>
      </c>
      <c r="K14" s="7">
        <v>335.0</v>
      </c>
    </row>
    <row r="15" ht="15.75" customHeight="1" outlineLevel="2">
      <c r="A15" s="15" t="s">
        <v>378</v>
      </c>
      <c r="B15" s="4"/>
      <c r="C15" s="4"/>
      <c r="D15" s="4"/>
      <c r="E15" s="4"/>
      <c r="F15" s="4"/>
      <c r="G15" s="4"/>
      <c r="H15" s="4"/>
      <c r="I15" s="4"/>
      <c r="J15" s="9">
        <f>J8+J9+J10+J11+J12+J13+J14</f>
        <v>335</v>
      </c>
      <c r="K15" s="4"/>
    </row>
    <row r="16" ht="15.75" customHeight="1" outlineLevel="2">
      <c r="A16" s="13" t="s">
        <v>340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75" customHeight="1" outlineLevel="3">
      <c r="B17" s="10" t="s">
        <v>151</v>
      </c>
      <c r="C17" s="10" t="s">
        <v>157</v>
      </c>
      <c r="D17" s="10" t="s">
        <v>304</v>
      </c>
      <c r="E17" s="10" t="s">
        <v>62</v>
      </c>
      <c r="F17" s="10" t="s">
        <v>62</v>
      </c>
      <c r="G17" s="10" t="s">
        <v>62</v>
      </c>
      <c r="H17" s="10" t="s">
        <v>62</v>
      </c>
      <c r="I17" s="10" t="s">
        <v>62</v>
      </c>
      <c r="J17" s="7">
        <v>2730.08</v>
      </c>
      <c r="K17" s="7">
        <v>2730.08</v>
      </c>
    </row>
    <row r="18" ht="15.75" customHeight="1" outlineLevel="2">
      <c r="A18" s="15" t="s">
        <v>379</v>
      </c>
      <c r="B18" s="4"/>
      <c r="C18" s="4"/>
      <c r="D18" s="4"/>
      <c r="E18" s="4"/>
      <c r="F18" s="4"/>
      <c r="G18" s="4"/>
      <c r="H18" s="4"/>
      <c r="I18" s="4"/>
      <c r="J18" s="9">
        <f>J16+J17</f>
        <v>2730.08</v>
      </c>
      <c r="K18" s="4"/>
    </row>
    <row r="19" ht="15.75" customHeight="1" outlineLevel="2">
      <c r="A19" s="13" t="s">
        <v>77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 outlineLevel="3">
      <c r="B20" s="10" t="s">
        <v>74</v>
      </c>
      <c r="C20" s="10" t="s">
        <v>75</v>
      </c>
      <c r="D20" s="10" t="s">
        <v>62</v>
      </c>
      <c r="E20" s="10" t="s">
        <v>62</v>
      </c>
      <c r="F20" s="10" t="s">
        <v>62</v>
      </c>
      <c r="G20" s="10" t="s">
        <v>62</v>
      </c>
      <c r="H20" s="10" t="s">
        <v>76</v>
      </c>
      <c r="I20" s="10" t="s">
        <v>8</v>
      </c>
      <c r="J20" s="7">
        <v>96.2</v>
      </c>
      <c r="K20" s="7">
        <v>96.2</v>
      </c>
    </row>
    <row r="21" ht="15.75" customHeight="1" outlineLevel="3">
      <c r="B21" s="10" t="s">
        <v>74</v>
      </c>
      <c r="C21" s="10" t="s">
        <v>75</v>
      </c>
      <c r="D21" s="10" t="s">
        <v>62</v>
      </c>
      <c r="E21" s="10" t="s">
        <v>62</v>
      </c>
      <c r="F21" s="10" t="s">
        <v>62</v>
      </c>
      <c r="G21" s="10" t="s">
        <v>62</v>
      </c>
      <c r="H21" s="10" t="s">
        <v>76</v>
      </c>
      <c r="I21" s="10" t="s">
        <v>8</v>
      </c>
      <c r="J21" s="7">
        <v>269.48</v>
      </c>
      <c r="K21" s="7">
        <v>365.68</v>
      </c>
    </row>
    <row r="22" ht="15.75" customHeight="1" outlineLevel="3">
      <c r="B22" s="10" t="s">
        <v>74</v>
      </c>
      <c r="C22" s="10" t="s">
        <v>75</v>
      </c>
      <c r="D22" s="10" t="s">
        <v>62</v>
      </c>
      <c r="E22" s="10" t="s">
        <v>62</v>
      </c>
      <c r="F22" s="10" t="s">
        <v>62</v>
      </c>
      <c r="G22" s="10" t="s">
        <v>62</v>
      </c>
      <c r="H22" s="10" t="s">
        <v>76</v>
      </c>
      <c r="I22" s="10" t="s">
        <v>8</v>
      </c>
      <c r="J22" s="7">
        <v>288.6</v>
      </c>
      <c r="K22" s="7">
        <v>654.28</v>
      </c>
    </row>
    <row r="23" ht="15.75" customHeight="1" outlineLevel="3">
      <c r="B23" s="10" t="s">
        <v>74</v>
      </c>
      <c r="C23" s="10" t="s">
        <v>75</v>
      </c>
      <c r="D23" s="10" t="s">
        <v>62</v>
      </c>
      <c r="E23" s="10" t="s">
        <v>62</v>
      </c>
      <c r="F23" s="10" t="s">
        <v>62</v>
      </c>
      <c r="G23" s="10" t="s">
        <v>62</v>
      </c>
      <c r="H23" s="10" t="s">
        <v>82</v>
      </c>
      <c r="I23" s="10" t="s">
        <v>8</v>
      </c>
      <c r="J23" s="7">
        <v>96.35</v>
      </c>
      <c r="K23" s="7">
        <v>750.63</v>
      </c>
    </row>
    <row r="24" ht="15.75" customHeight="1" outlineLevel="3">
      <c r="B24" s="10" t="s">
        <v>88</v>
      </c>
      <c r="C24" s="10" t="s">
        <v>75</v>
      </c>
      <c r="D24" s="10" t="s">
        <v>62</v>
      </c>
      <c r="E24" s="10" t="s">
        <v>62</v>
      </c>
      <c r="F24" s="10" t="s">
        <v>62</v>
      </c>
      <c r="G24" s="10" t="s">
        <v>62</v>
      </c>
      <c r="H24" s="10" t="s">
        <v>76</v>
      </c>
      <c r="I24" s="10" t="s">
        <v>8</v>
      </c>
      <c r="J24" s="7">
        <v>288.6</v>
      </c>
      <c r="K24" s="7">
        <v>1039.23</v>
      </c>
    </row>
    <row r="25" ht="15.75" customHeight="1" outlineLevel="3">
      <c r="B25" s="10" t="s">
        <v>96</v>
      </c>
      <c r="C25" s="10" t="s">
        <v>75</v>
      </c>
      <c r="D25" s="10" t="s">
        <v>62</v>
      </c>
      <c r="E25" s="10" t="s">
        <v>62</v>
      </c>
      <c r="F25" s="10" t="s">
        <v>62</v>
      </c>
      <c r="G25" s="10" t="s">
        <v>62</v>
      </c>
      <c r="H25" s="10" t="s">
        <v>76</v>
      </c>
      <c r="I25" s="10" t="s">
        <v>8</v>
      </c>
      <c r="J25" s="7">
        <v>4849.18</v>
      </c>
      <c r="K25" s="7">
        <v>5888.41</v>
      </c>
    </row>
    <row r="26" ht="15.75" customHeight="1" outlineLevel="3">
      <c r="B26" s="10" t="s">
        <v>97</v>
      </c>
      <c r="C26" s="10" t="s">
        <v>75</v>
      </c>
      <c r="D26" s="10" t="s">
        <v>62</v>
      </c>
      <c r="E26" s="10" t="s">
        <v>62</v>
      </c>
      <c r="F26" s="10" t="s">
        <v>62</v>
      </c>
      <c r="G26" s="10" t="s">
        <v>62</v>
      </c>
      <c r="H26" s="10" t="s">
        <v>76</v>
      </c>
      <c r="I26" s="10" t="s">
        <v>8</v>
      </c>
      <c r="J26" s="7">
        <v>2856.36</v>
      </c>
      <c r="K26" s="7">
        <v>8744.77</v>
      </c>
    </row>
    <row r="27" ht="15.75" customHeight="1" outlineLevel="3">
      <c r="B27" s="10" t="s">
        <v>97</v>
      </c>
      <c r="C27" s="10" t="s">
        <v>75</v>
      </c>
      <c r="D27" s="10" t="s">
        <v>62</v>
      </c>
      <c r="E27" s="10" t="s">
        <v>62</v>
      </c>
      <c r="F27" s="10" t="s">
        <v>62</v>
      </c>
      <c r="G27" s="10" t="s">
        <v>62</v>
      </c>
      <c r="H27" s="10" t="s">
        <v>98</v>
      </c>
      <c r="I27" s="10" t="s">
        <v>8</v>
      </c>
      <c r="J27" s="7">
        <v>52.04</v>
      </c>
      <c r="K27" s="7">
        <v>8796.810000000001</v>
      </c>
    </row>
    <row r="28" ht="15.75" customHeight="1" outlineLevel="3">
      <c r="B28" s="10" t="s">
        <v>104</v>
      </c>
      <c r="C28" s="10" t="s">
        <v>75</v>
      </c>
      <c r="D28" s="10" t="s">
        <v>62</v>
      </c>
      <c r="E28" s="10" t="s">
        <v>62</v>
      </c>
      <c r="F28" s="10" t="s">
        <v>62</v>
      </c>
      <c r="G28" s="10" t="s">
        <v>62</v>
      </c>
      <c r="H28" s="10" t="s">
        <v>76</v>
      </c>
      <c r="I28" s="10" t="s">
        <v>8</v>
      </c>
      <c r="J28" s="7">
        <v>669.43</v>
      </c>
      <c r="K28" s="7">
        <v>9466.240000000002</v>
      </c>
    </row>
    <row r="29" ht="15.75" customHeight="1" outlineLevel="3">
      <c r="B29" s="10" t="s">
        <v>104</v>
      </c>
      <c r="C29" s="10" t="s">
        <v>75</v>
      </c>
      <c r="D29" s="10" t="s">
        <v>62</v>
      </c>
      <c r="E29" s="10" t="s">
        <v>62</v>
      </c>
      <c r="F29" s="10" t="s">
        <v>62</v>
      </c>
      <c r="G29" s="10" t="s">
        <v>62</v>
      </c>
      <c r="H29" s="10" t="s">
        <v>107</v>
      </c>
      <c r="I29" s="10" t="s">
        <v>8</v>
      </c>
      <c r="J29" s="7">
        <v>1312.58</v>
      </c>
      <c r="K29" s="7">
        <v>10778.820000000002</v>
      </c>
    </row>
    <row r="30" ht="15.75" customHeight="1" outlineLevel="3">
      <c r="B30" s="10" t="s">
        <v>104</v>
      </c>
      <c r="C30" s="10" t="s">
        <v>75</v>
      </c>
      <c r="D30" s="10" t="s">
        <v>62</v>
      </c>
      <c r="E30" s="10" t="s">
        <v>62</v>
      </c>
      <c r="F30" s="10" t="s">
        <v>62</v>
      </c>
      <c r="G30" s="10" t="s">
        <v>62</v>
      </c>
      <c r="H30" s="10" t="s">
        <v>110</v>
      </c>
      <c r="I30" s="10" t="s">
        <v>8</v>
      </c>
      <c r="J30" s="7">
        <v>396.45</v>
      </c>
      <c r="K30" s="7">
        <v>11175.270000000002</v>
      </c>
    </row>
    <row r="31" ht="15.75" customHeight="1" outlineLevel="3">
      <c r="B31" s="10" t="s">
        <v>113</v>
      </c>
      <c r="C31" s="10" t="s">
        <v>75</v>
      </c>
      <c r="D31" s="10" t="s">
        <v>62</v>
      </c>
      <c r="E31" s="10" t="s">
        <v>62</v>
      </c>
      <c r="F31" s="10" t="s">
        <v>62</v>
      </c>
      <c r="G31" s="10" t="s">
        <v>62</v>
      </c>
      <c r="H31" s="10" t="s">
        <v>76</v>
      </c>
      <c r="I31" s="10" t="s">
        <v>8</v>
      </c>
      <c r="J31" s="7">
        <v>4717.15</v>
      </c>
      <c r="K31" s="7">
        <v>15892.420000000002</v>
      </c>
    </row>
    <row r="32" ht="15.75" customHeight="1" outlineLevel="3">
      <c r="B32" s="10" t="s">
        <v>113</v>
      </c>
      <c r="C32" s="10" t="s">
        <v>75</v>
      </c>
      <c r="D32" s="10" t="s">
        <v>62</v>
      </c>
      <c r="E32" s="10" t="s">
        <v>62</v>
      </c>
      <c r="F32" s="10" t="s">
        <v>62</v>
      </c>
      <c r="G32" s="10" t="s">
        <v>62</v>
      </c>
      <c r="H32" s="10" t="s">
        <v>76</v>
      </c>
      <c r="I32" s="10" t="s">
        <v>8</v>
      </c>
      <c r="J32" s="7">
        <v>422.03</v>
      </c>
      <c r="K32" s="7">
        <v>16314.450000000003</v>
      </c>
    </row>
    <row r="33" ht="15.75" customHeight="1" outlineLevel="3">
      <c r="B33" s="10" t="s">
        <v>113</v>
      </c>
      <c r="C33" s="10" t="s">
        <v>75</v>
      </c>
      <c r="D33" s="10" t="s">
        <v>62</v>
      </c>
      <c r="E33" s="10" t="s">
        <v>62</v>
      </c>
      <c r="F33" s="10" t="s">
        <v>62</v>
      </c>
      <c r="G33" s="10" t="s">
        <v>62</v>
      </c>
      <c r="H33" s="10" t="s">
        <v>76</v>
      </c>
      <c r="I33" s="10" t="s">
        <v>8</v>
      </c>
      <c r="J33" s="7">
        <v>2410.46</v>
      </c>
      <c r="K33" s="7">
        <v>18724.910000000003</v>
      </c>
    </row>
    <row r="34" ht="15.75" customHeight="1" outlineLevel="3">
      <c r="B34" s="10" t="s">
        <v>116</v>
      </c>
      <c r="C34" s="10" t="s">
        <v>75</v>
      </c>
      <c r="D34" s="10" t="s">
        <v>62</v>
      </c>
      <c r="E34" s="10" t="s">
        <v>62</v>
      </c>
      <c r="F34" s="10" t="s">
        <v>62</v>
      </c>
      <c r="G34" s="10" t="s">
        <v>62</v>
      </c>
      <c r="H34" s="10" t="s">
        <v>76</v>
      </c>
      <c r="I34" s="10" t="s">
        <v>8</v>
      </c>
      <c r="J34" s="7">
        <v>914.72</v>
      </c>
      <c r="K34" s="7">
        <v>19639.630000000005</v>
      </c>
    </row>
    <row r="35" ht="15.75" customHeight="1" outlineLevel="3">
      <c r="B35" s="10" t="s">
        <v>120</v>
      </c>
      <c r="C35" s="10" t="s">
        <v>75</v>
      </c>
      <c r="D35" s="10" t="s">
        <v>62</v>
      </c>
      <c r="E35" s="10" t="s">
        <v>62</v>
      </c>
      <c r="F35" s="10" t="s">
        <v>62</v>
      </c>
      <c r="G35" s="10" t="s">
        <v>62</v>
      </c>
      <c r="H35" s="10" t="s">
        <v>76</v>
      </c>
      <c r="I35" s="10" t="s">
        <v>8</v>
      </c>
      <c r="J35" s="7">
        <v>4883.68</v>
      </c>
      <c r="K35" s="7">
        <v>24523.310000000005</v>
      </c>
    </row>
    <row r="36" ht="15.75" customHeight="1" outlineLevel="3">
      <c r="B36" s="10" t="s">
        <v>120</v>
      </c>
      <c r="C36" s="10" t="s">
        <v>75</v>
      </c>
      <c r="D36" s="10" t="s">
        <v>62</v>
      </c>
      <c r="E36" s="10" t="s">
        <v>62</v>
      </c>
      <c r="F36" s="10" t="s">
        <v>62</v>
      </c>
      <c r="G36" s="10" t="s">
        <v>62</v>
      </c>
      <c r="H36" s="10" t="s">
        <v>121</v>
      </c>
      <c r="I36" s="10" t="s">
        <v>8</v>
      </c>
      <c r="J36" s="7">
        <v>660.0</v>
      </c>
      <c r="K36" s="7">
        <v>25183.310000000005</v>
      </c>
    </row>
    <row r="37" ht="15.75" customHeight="1" outlineLevel="3">
      <c r="B37" s="10" t="s">
        <v>122</v>
      </c>
      <c r="C37" s="10" t="s">
        <v>75</v>
      </c>
      <c r="D37" s="10" t="s">
        <v>62</v>
      </c>
      <c r="E37" s="10" t="s">
        <v>62</v>
      </c>
      <c r="F37" s="10" t="s">
        <v>62</v>
      </c>
      <c r="G37" s="10" t="s">
        <v>62</v>
      </c>
      <c r="H37" s="10" t="s">
        <v>76</v>
      </c>
      <c r="I37" s="10" t="s">
        <v>8</v>
      </c>
      <c r="J37" s="7">
        <v>6246.17</v>
      </c>
      <c r="K37" s="7">
        <v>31429.480000000003</v>
      </c>
    </row>
    <row r="38" ht="15.75" customHeight="1" outlineLevel="3">
      <c r="B38" s="10" t="s">
        <v>122</v>
      </c>
      <c r="C38" s="10" t="s">
        <v>75</v>
      </c>
      <c r="D38" s="10" t="s">
        <v>62</v>
      </c>
      <c r="E38" s="10" t="s">
        <v>62</v>
      </c>
      <c r="F38" s="10" t="s">
        <v>62</v>
      </c>
      <c r="G38" s="10" t="s">
        <v>62</v>
      </c>
      <c r="H38" s="10" t="s">
        <v>98</v>
      </c>
      <c r="I38" s="10" t="s">
        <v>8</v>
      </c>
      <c r="J38" s="7">
        <v>348.4</v>
      </c>
      <c r="K38" s="7">
        <v>31777.880000000005</v>
      </c>
    </row>
    <row r="39" ht="15.75" customHeight="1" outlineLevel="3">
      <c r="B39" s="10" t="s">
        <v>123</v>
      </c>
      <c r="C39" s="10" t="s">
        <v>75</v>
      </c>
      <c r="D39" s="10" t="s">
        <v>62</v>
      </c>
      <c r="E39" s="10" t="s">
        <v>62</v>
      </c>
      <c r="F39" s="10" t="s">
        <v>62</v>
      </c>
      <c r="G39" s="10" t="s">
        <v>62</v>
      </c>
      <c r="H39" s="10" t="s">
        <v>76</v>
      </c>
      <c r="I39" s="10" t="s">
        <v>8</v>
      </c>
      <c r="J39" s="7">
        <v>940.66</v>
      </c>
      <c r="K39" s="7">
        <v>32718.540000000005</v>
      </c>
    </row>
    <row r="40" ht="15.75" customHeight="1" outlineLevel="3">
      <c r="B40" s="10" t="s">
        <v>124</v>
      </c>
      <c r="C40" s="10" t="s">
        <v>75</v>
      </c>
      <c r="D40" s="10" t="s">
        <v>62</v>
      </c>
      <c r="E40" s="10" t="s">
        <v>62</v>
      </c>
      <c r="F40" s="10" t="s">
        <v>62</v>
      </c>
      <c r="G40" s="10" t="s">
        <v>62</v>
      </c>
      <c r="H40" s="10" t="s">
        <v>76</v>
      </c>
      <c r="I40" s="10" t="s">
        <v>8</v>
      </c>
      <c r="J40" s="7">
        <v>2273.71</v>
      </c>
      <c r="K40" s="7">
        <v>34992.25000000001</v>
      </c>
    </row>
    <row r="41" ht="15.75" customHeight="1" outlineLevel="3">
      <c r="B41" s="10" t="s">
        <v>124</v>
      </c>
      <c r="C41" s="10" t="s">
        <v>75</v>
      </c>
      <c r="D41" s="10" t="s">
        <v>62</v>
      </c>
      <c r="E41" s="10" t="s">
        <v>62</v>
      </c>
      <c r="F41" s="10" t="s">
        <v>62</v>
      </c>
      <c r="G41" s="10" t="s">
        <v>62</v>
      </c>
      <c r="H41" s="10" t="s">
        <v>76</v>
      </c>
      <c r="I41" s="10" t="s">
        <v>8</v>
      </c>
      <c r="J41" s="7">
        <v>1640.69</v>
      </c>
      <c r="K41" s="7">
        <v>36632.94000000001</v>
      </c>
    </row>
    <row r="42" ht="15.75" customHeight="1" outlineLevel="3">
      <c r="B42" s="10" t="s">
        <v>124</v>
      </c>
      <c r="C42" s="10" t="s">
        <v>75</v>
      </c>
      <c r="D42" s="10" t="s">
        <v>62</v>
      </c>
      <c r="E42" s="10" t="s">
        <v>62</v>
      </c>
      <c r="F42" s="10" t="s">
        <v>62</v>
      </c>
      <c r="G42" s="10" t="s">
        <v>62</v>
      </c>
      <c r="H42" s="10" t="s">
        <v>76</v>
      </c>
      <c r="I42" s="10" t="s">
        <v>8</v>
      </c>
      <c r="J42" s="7">
        <v>6139.12</v>
      </c>
      <c r="K42" s="7">
        <v>42772.06000000001</v>
      </c>
    </row>
    <row r="43" ht="15.75" customHeight="1" outlineLevel="3">
      <c r="B43" s="10" t="s">
        <v>126</v>
      </c>
      <c r="C43" s="10" t="s">
        <v>75</v>
      </c>
      <c r="D43" s="10" t="s">
        <v>62</v>
      </c>
      <c r="E43" s="10" t="s">
        <v>62</v>
      </c>
      <c r="F43" s="10" t="s">
        <v>62</v>
      </c>
      <c r="G43" s="10" t="s">
        <v>62</v>
      </c>
      <c r="H43" s="10" t="s">
        <v>76</v>
      </c>
      <c r="I43" s="10" t="s">
        <v>8</v>
      </c>
      <c r="J43" s="7">
        <v>96.2</v>
      </c>
      <c r="K43" s="7">
        <v>42868.26000000001</v>
      </c>
    </row>
    <row r="44" ht="15.75" customHeight="1" outlineLevel="3">
      <c r="B44" s="10" t="s">
        <v>127</v>
      </c>
      <c r="C44" s="10" t="s">
        <v>75</v>
      </c>
      <c r="D44" s="10" t="s">
        <v>62</v>
      </c>
      <c r="E44" s="10" t="s">
        <v>62</v>
      </c>
      <c r="F44" s="10" t="s">
        <v>62</v>
      </c>
      <c r="G44" s="10" t="s">
        <v>62</v>
      </c>
      <c r="H44" s="10" t="s">
        <v>76</v>
      </c>
      <c r="I44" s="10" t="s">
        <v>8</v>
      </c>
      <c r="J44" s="7">
        <v>1533.75</v>
      </c>
      <c r="K44" s="7">
        <v>44402.01000000001</v>
      </c>
    </row>
    <row r="45" ht="15.75" customHeight="1" outlineLevel="3">
      <c r="B45" s="10" t="s">
        <v>130</v>
      </c>
      <c r="C45" s="10" t="s">
        <v>75</v>
      </c>
      <c r="D45" s="10" t="s">
        <v>62</v>
      </c>
      <c r="E45" s="10" t="s">
        <v>62</v>
      </c>
      <c r="F45" s="10" t="s">
        <v>62</v>
      </c>
      <c r="G45" s="10" t="s">
        <v>62</v>
      </c>
      <c r="H45" s="10" t="s">
        <v>76</v>
      </c>
      <c r="I45" s="10" t="s">
        <v>8</v>
      </c>
      <c r="J45" s="7">
        <v>8935.7</v>
      </c>
      <c r="K45" s="7">
        <v>53337.71000000001</v>
      </c>
    </row>
    <row r="46" ht="15.75" customHeight="1" outlineLevel="3">
      <c r="B46" s="10" t="s">
        <v>131</v>
      </c>
      <c r="C46" s="10" t="s">
        <v>75</v>
      </c>
      <c r="D46" s="10" t="s">
        <v>62</v>
      </c>
      <c r="E46" s="10" t="s">
        <v>62</v>
      </c>
      <c r="F46" s="10" t="s">
        <v>62</v>
      </c>
      <c r="G46" s="10" t="s">
        <v>62</v>
      </c>
      <c r="H46" s="10" t="s">
        <v>76</v>
      </c>
      <c r="I46" s="10" t="s">
        <v>8</v>
      </c>
      <c r="J46" s="7">
        <v>2953.51</v>
      </c>
      <c r="K46" s="7">
        <v>56291.22000000001</v>
      </c>
    </row>
    <row r="47" ht="15.75" customHeight="1" outlineLevel="3">
      <c r="B47" s="10" t="s">
        <v>131</v>
      </c>
      <c r="C47" s="10" t="s">
        <v>75</v>
      </c>
      <c r="D47" s="10" t="s">
        <v>62</v>
      </c>
      <c r="E47" s="10" t="s">
        <v>62</v>
      </c>
      <c r="F47" s="10" t="s">
        <v>62</v>
      </c>
      <c r="G47" s="10" t="s">
        <v>62</v>
      </c>
      <c r="H47" s="10" t="s">
        <v>107</v>
      </c>
      <c r="I47" s="10" t="s">
        <v>8</v>
      </c>
      <c r="J47" s="7">
        <v>338.89</v>
      </c>
      <c r="K47" s="7">
        <v>56630.11000000001</v>
      </c>
    </row>
    <row r="48" ht="15.75" customHeight="1" outlineLevel="3">
      <c r="B48" s="10" t="s">
        <v>132</v>
      </c>
      <c r="C48" s="10" t="s">
        <v>75</v>
      </c>
      <c r="D48" s="10" t="s">
        <v>62</v>
      </c>
      <c r="E48" s="10" t="s">
        <v>62</v>
      </c>
      <c r="F48" s="10" t="s">
        <v>62</v>
      </c>
      <c r="G48" s="10" t="s">
        <v>62</v>
      </c>
      <c r="H48" s="10" t="s">
        <v>76</v>
      </c>
      <c r="I48" s="10" t="s">
        <v>8</v>
      </c>
      <c r="J48" s="7">
        <v>2762.42</v>
      </c>
      <c r="K48" s="7">
        <v>59392.530000000006</v>
      </c>
    </row>
    <row r="49" ht="15.75" customHeight="1" outlineLevel="3">
      <c r="B49" s="10" t="s">
        <v>132</v>
      </c>
      <c r="C49" s="10" t="s">
        <v>75</v>
      </c>
      <c r="D49" s="10" t="s">
        <v>62</v>
      </c>
      <c r="E49" s="10" t="s">
        <v>62</v>
      </c>
      <c r="F49" s="10" t="s">
        <v>62</v>
      </c>
      <c r="G49" s="10" t="s">
        <v>62</v>
      </c>
      <c r="H49" s="10" t="s">
        <v>76</v>
      </c>
      <c r="I49" s="10" t="s">
        <v>8</v>
      </c>
      <c r="J49" s="7">
        <v>1299.81</v>
      </c>
      <c r="K49" s="7">
        <v>60692.340000000004</v>
      </c>
    </row>
    <row r="50" ht="15.75" customHeight="1" outlineLevel="3">
      <c r="B50" s="10" t="s">
        <v>132</v>
      </c>
      <c r="C50" s="10" t="s">
        <v>75</v>
      </c>
      <c r="D50" s="10" t="s">
        <v>62</v>
      </c>
      <c r="E50" s="10" t="s">
        <v>62</v>
      </c>
      <c r="F50" s="10" t="s">
        <v>62</v>
      </c>
      <c r="G50" s="10" t="s">
        <v>62</v>
      </c>
      <c r="H50" s="10" t="s">
        <v>76</v>
      </c>
      <c r="I50" s="10" t="s">
        <v>8</v>
      </c>
      <c r="J50" s="7">
        <v>6744.71</v>
      </c>
      <c r="K50" s="7">
        <v>67437.05</v>
      </c>
    </row>
    <row r="51" ht="15.75" customHeight="1" outlineLevel="3">
      <c r="B51" s="10" t="s">
        <v>137</v>
      </c>
      <c r="C51" s="10" t="s">
        <v>75</v>
      </c>
      <c r="D51" s="10" t="s">
        <v>62</v>
      </c>
      <c r="E51" s="10" t="s">
        <v>62</v>
      </c>
      <c r="F51" s="10" t="s">
        <v>62</v>
      </c>
      <c r="G51" s="10" t="s">
        <v>62</v>
      </c>
      <c r="H51" s="10" t="s">
        <v>76</v>
      </c>
      <c r="I51" s="10" t="s">
        <v>8</v>
      </c>
      <c r="J51" s="7">
        <v>173.28</v>
      </c>
      <c r="K51" s="7">
        <v>67610.33</v>
      </c>
    </row>
    <row r="52" ht="15.75" customHeight="1" outlineLevel="3">
      <c r="B52" s="10" t="s">
        <v>141</v>
      </c>
      <c r="C52" s="10" t="s">
        <v>75</v>
      </c>
      <c r="D52" s="10" t="s">
        <v>62</v>
      </c>
      <c r="E52" s="10" t="s">
        <v>62</v>
      </c>
      <c r="F52" s="10" t="s">
        <v>62</v>
      </c>
      <c r="G52" s="10" t="s">
        <v>62</v>
      </c>
      <c r="H52" s="10" t="s">
        <v>76</v>
      </c>
      <c r="I52" s="10" t="s">
        <v>8</v>
      </c>
      <c r="J52" s="7">
        <v>3420.72</v>
      </c>
      <c r="K52" s="7">
        <v>71031.05</v>
      </c>
    </row>
    <row r="53" ht="15.75" customHeight="1" outlineLevel="3">
      <c r="B53" s="10" t="s">
        <v>142</v>
      </c>
      <c r="C53" s="10" t="s">
        <v>75</v>
      </c>
      <c r="D53" s="10" t="s">
        <v>62</v>
      </c>
      <c r="E53" s="10" t="s">
        <v>62</v>
      </c>
      <c r="F53" s="10" t="s">
        <v>62</v>
      </c>
      <c r="G53" s="10" t="s">
        <v>62</v>
      </c>
      <c r="H53" s="10" t="s">
        <v>76</v>
      </c>
      <c r="I53" s="10" t="s">
        <v>8</v>
      </c>
      <c r="J53" s="7">
        <v>3793.92</v>
      </c>
      <c r="K53" s="7">
        <v>74824.97</v>
      </c>
    </row>
    <row r="54" ht="15.75" customHeight="1" outlineLevel="3">
      <c r="B54" s="10" t="s">
        <v>143</v>
      </c>
      <c r="C54" s="10" t="s">
        <v>75</v>
      </c>
      <c r="D54" s="10" t="s">
        <v>62</v>
      </c>
      <c r="E54" s="10" t="s">
        <v>62</v>
      </c>
      <c r="F54" s="10" t="s">
        <v>62</v>
      </c>
      <c r="G54" s="10" t="s">
        <v>62</v>
      </c>
      <c r="H54" s="10" t="s">
        <v>76</v>
      </c>
      <c r="I54" s="10" t="s">
        <v>8</v>
      </c>
      <c r="J54" s="7">
        <v>192.4</v>
      </c>
      <c r="K54" s="7">
        <v>75017.37</v>
      </c>
    </row>
    <row r="55" ht="15.75" customHeight="1" outlineLevel="3">
      <c r="B55" s="10" t="s">
        <v>143</v>
      </c>
      <c r="C55" s="10" t="s">
        <v>75</v>
      </c>
      <c r="D55" s="10" t="s">
        <v>62</v>
      </c>
      <c r="E55" s="10" t="s">
        <v>62</v>
      </c>
      <c r="F55" s="10" t="s">
        <v>62</v>
      </c>
      <c r="G55" s="10" t="s">
        <v>62</v>
      </c>
      <c r="H55" s="10" t="s">
        <v>76</v>
      </c>
      <c r="I55" s="10" t="s">
        <v>8</v>
      </c>
      <c r="J55" s="7">
        <v>481.6</v>
      </c>
      <c r="K55" s="7">
        <v>75498.97</v>
      </c>
    </row>
    <row r="56" ht="15.75" customHeight="1" outlineLevel="3">
      <c r="B56" s="10" t="s">
        <v>143</v>
      </c>
      <c r="C56" s="10" t="s">
        <v>75</v>
      </c>
      <c r="D56" s="10" t="s">
        <v>62</v>
      </c>
      <c r="E56" s="10" t="s">
        <v>62</v>
      </c>
      <c r="F56" s="10" t="s">
        <v>62</v>
      </c>
      <c r="G56" s="10" t="s">
        <v>62</v>
      </c>
      <c r="H56" s="10" t="s">
        <v>76</v>
      </c>
      <c r="I56" s="10" t="s">
        <v>8</v>
      </c>
      <c r="J56" s="7">
        <v>770.35</v>
      </c>
      <c r="K56" s="7">
        <v>76269.32</v>
      </c>
    </row>
    <row r="57" ht="15.75" customHeight="1" outlineLevel="3">
      <c r="B57" s="10" t="s">
        <v>147</v>
      </c>
      <c r="C57" s="10" t="s">
        <v>75</v>
      </c>
      <c r="D57" s="10" t="s">
        <v>62</v>
      </c>
      <c r="E57" s="10" t="s">
        <v>62</v>
      </c>
      <c r="F57" s="10" t="s">
        <v>62</v>
      </c>
      <c r="G57" s="10" t="s">
        <v>62</v>
      </c>
      <c r="H57" s="10" t="s">
        <v>76</v>
      </c>
      <c r="I57" s="10" t="s">
        <v>8</v>
      </c>
      <c r="J57" s="7">
        <v>1155.75</v>
      </c>
      <c r="K57" s="7">
        <v>77425.07</v>
      </c>
    </row>
    <row r="58" ht="15.75" customHeight="1" outlineLevel="3">
      <c r="B58" s="10" t="s">
        <v>151</v>
      </c>
      <c r="C58" s="10" t="s">
        <v>75</v>
      </c>
      <c r="D58" s="10" t="s">
        <v>62</v>
      </c>
      <c r="E58" s="10" t="s">
        <v>62</v>
      </c>
      <c r="F58" s="10" t="s">
        <v>62</v>
      </c>
      <c r="G58" s="10" t="s">
        <v>62</v>
      </c>
      <c r="H58" s="10" t="s">
        <v>76</v>
      </c>
      <c r="I58" s="10" t="s">
        <v>8</v>
      </c>
      <c r="J58" s="7">
        <v>96.2</v>
      </c>
      <c r="K58" s="7">
        <v>77521.27</v>
      </c>
    </row>
    <row r="59" ht="15.75" customHeight="1" outlineLevel="3">
      <c r="B59" s="10" t="s">
        <v>151</v>
      </c>
      <c r="C59" s="10" t="s">
        <v>157</v>
      </c>
      <c r="D59" s="10" t="s">
        <v>304</v>
      </c>
      <c r="E59" s="10" t="s">
        <v>62</v>
      </c>
      <c r="F59" s="10" t="s">
        <v>62</v>
      </c>
      <c r="G59" s="10" t="s">
        <v>62</v>
      </c>
      <c r="H59" s="10" t="s">
        <v>305</v>
      </c>
      <c r="I59" s="10" t="s">
        <v>62</v>
      </c>
      <c r="J59" s="7">
        <v>-235.69</v>
      </c>
      <c r="K59" s="7">
        <v>77285.58</v>
      </c>
    </row>
    <row r="60" ht="15.75" customHeight="1" outlineLevel="3">
      <c r="B60" s="10" t="s">
        <v>151</v>
      </c>
      <c r="C60" s="10" t="s">
        <v>157</v>
      </c>
      <c r="D60" s="10" t="s">
        <v>304</v>
      </c>
      <c r="E60" s="10" t="s">
        <v>62</v>
      </c>
      <c r="F60" s="10" t="s">
        <v>62</v>
      </c>
      <c r="G60" s="10" t="s">
        <v>62</v>
      </c>
      <c r="H60" s="10" t="s">
        <v>62</v>
      </c>
      <c r="I60" s="10" t="s">
        <v>62</v>
      </c>
      <c r="J60" s="7">
        <v>-2730.08</v>
      </c>
      <c r="K60" s="7">
        <v>74555.5</v>
      </c>
    </row>
    <row r="61" ht="15.75" customHeight="1" outlineLevel="2">
      <c r="A61" s="15" t="s">
        <v>380</v>
      </c>
      <c r="B61" s="4"/>
      <c r="C61" s="4"/>
      <c r="D61" s="4"/>
      <c r="E61" s="4"/>
      <c r="F61" s="4"/>
      <c r="G61" s="4"/>
      <c r="H61" s="4"/>
      <c r="I61" s="4"/>
      <c r="J61" s="9">
        <f>J19+J20+J21+J22+J23+J24+J25+J26+J27+J28+J29+J30+J31+J32+J33+J34+J35+J36+J37+J38+J39+J40+J41+J42+J43+J44+J45+J46+J47+J48+J49+J50+J51+J52+J53+J54+J55+J56+J57+J58+J59+J60</f>
        <v>74555.5</v>
      </c>
      <c r="K61" s="4"/>
    </row>
    <row r="62" ht="15.75" customHeight="1" outlineLevel="1">
      <c r="A62" s="15" t="s">
        <v>381</v>
      </c>
      <c r="B62" s="4"/>
      <c r="C62" s="4"/>
      <c r="D62" s="4"/>
      <c r="E62" s="4"/>
      <c r="F62" s="4"/>
      <c r="G62" s="4"/>
      <c r="H62" s="4"/>
      <c r="I62" s="4"/>
      <c r="J62" s="9">
        <f>J7+J15+J18+J61</f>
        <v>77620.58</v>
      </c>
      <c r="K62" s="4"/>
    </row>
    <row r="63" ht="15.75" customHeight="1" outlineLevel="1">
      <c r="A63" s="13" t="s">
        <v>342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 outlineLevel="2">
      <c r="A64" s="13" t="s">
        <v>343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 outlineLevel="3">
      <c r="A65" s="13" t="s">
        <v>183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 outlineLevel="4">
      <c r="B66" s="10" t="s">
        <v>96</v>
      </c>
      <c r="C66" s="10" t="s">
        <v>78</v>
      </c>
      <c r="D66" s="10" t="s">
        <v>62</v>
      </c>
      <c r="E66" s="10" t="s">
        <v>232</v>
      </c>
      <c r="F66" s="10" t="s">
        <v>62</v>
      </c>
      <c r="G66" s="10" t="s">
        <v>62</v>
      </c>
      <c r="H66" s="10" t="s">
        <v>233</v>
      </c>
      <c r="I66" s="10" t="s">
        <v>34</v>
      </c>
      <c r="J66" s="7">
        <v>92.95</v>
      </c>
      <c r="K66" s="7">
        <v>92.95</v>
      </c>
    </row>
    <row r="67" ht="15.75" customHeight="1" outlineLevel="4">
      <c r="B67" s="10" t="s">
        <v>97</v>
      </c>
      <c r="C67" s="10" t="s">
        <v>78</v>
      </c>
      <c r="D67" s="10" t="s">
        <v>62</v>
      </c>
      <c r="E67" s="10" t="s">
        <v>181</v>
      </c>
      <c r="F67" s="10" t="s">
        <v>62</v>
      </c>
      <c r="G67" s="10" t="s">
        <v>62</v>
      </c>
      <c r="H67" s="10" t="s">
        <v>182</v>
      </c>
      <c r="I67" s="10" t="s">
        <v>33</v>
      </c>
      <c r="J67" s="7">
        <v>160.56</v>
      </c>
      <c r="K67" s="7">
        <v>253.51</v>
      </c>
    </row>
    <row r="68" ht="15.75" customHeight="1" outlineLevel="4">
      <c r="B68" s="10" t="s">
        <v>104</v>
      </c>
      <c r="C68" s="10" t="s">
        <v>78</v>
      </c>
      <c r="D68" s="10" t="s">
        <v>62</v>
      </c>
      <c r="E68" s="10" t="s">
        <v>242</v>
      </c>
      <c r="F68" s="10" t="s">
        <v>62</v>
      </c>
      <c r="G68" s="10" t="s">
        <v>62</v>
      </c>
      <c r="H68" s="10" t="s">
        <v>243</v>
      </c>
      <c r="I68" s="10" t="s">
        <v>34</v>
      </c>
      <c r="J68" s="7">
        <v>2270.94</v>
      </c>
      <c r="K68" s="7">
        <v>2524.45</v>
      </c>
    </row>
    <row r="69" ht="15.75" customHeight="1" outlineLevel="4">
      <c r="B69" s="10" t="s">
        <v>193</v>
      </c>
      <c r="C69" s="10" t="s">
        <v>78</v>
      </c>
      <c r="D69" s="10" t="s">
        <v>62</v>
      </c>
      <c r="E69" s="10" t="s">
        <v>194</v>
      </c>
      <c r="F69" s="10" t="s">
        <v>62</v>
      </c>
      <c r="G69" s="10" t="s">
        <v>62</v>
      </c>
      <c r="H69" s="10" t="s">
        <v>195</v>
      </c>
      <c r="I69" s="10" t="s">
        <v>33</v>
      </c>
      <c r="J69" s="7">
        <v>1968.0</v>
      </c>
      <c r="K69" s="7">
        <v>4492.45</v>
      </c>
    </row>
    <row r="70" ht="15.75" customHeight="1" outlineLevel="4">
      <c r="B70" s="10" t="s">
        <v>116</v>
      </c>
      <c r="C70" s="10" t="s">
        <v>78</v>
      </c>
      <c r="D70" s="10" t="s">
        <v>62</v>
      </c>
      <c r="E70" s="10" t="s">
        <v>258</v>
      </c>
      <c r="F70" s="10" t="s">
        <v>62</v>
      </c>
      <c r="G70" s="10" t="s">
        <v>62</v>
      </c>
      <c r="H70" s="10" t="s">
        <v>259</v>
      </c>
      <c r="I70" s="10" t="s">
        <v>34</v>
      </c>
      <c r="J70" s="7">
        <v>1739.0</v>
      </c>
      <c r="K70" s="7">
        <v>6231.45</v>
      </c>
    </row>
    <row r="71" ht="15.75" customHeight="1" outlineLevel="4">
      <c r="B71" s="10" t="s">
        <v>116</v>
      </c>
      <c r="C71" s="10" t="s">
        <v>78</v>
      </c>
      <c r="D71" s="10" t="s">
        <v>62</v>
      </c>
      <c r="E71" s="10" t="s">
        <v>260</v>
      </c>
      <c r="F71" s="10" t="s">
        <v>62</v>
      </c>
      <c r="G71" s="10" t="s">
        <v>62</v>
      </c>
      <c r="H71" s="10" t="s">
        <v>261</v>
      </c>
      <c r="I71" s="10" t="s">
        <v>34</v>
      </c>
      <c r="J71" s="7">
        <v>306.05</v>
      </c>
      <c r="K71" s="7">
        <v>6537.5</v>
      </c>
    </row>
    <row r="72" ht="15.75" customHeight="1" outlineLevel="4">
      <c r="B72" s="10" t="s">
        <v>120</v>
      </c>
      <c r="C72" s="10" t="s">
        <v>78</v>
      </c>
      <c r="D72" s="10" t="s">
        <v>62</v>
      </c>
      <c r="E72" s="10" t="s">
        <v>263</v>
      </c>
      <c r="F72" s="10" t="s">
        <v>62</v>
      </c>
      <c r="G72" s="10" t="s">
        <v>62</v>
      </c>
      <c r="H72" s="10" t="s">
        <v>264</v>
      </c>
      <c r="I72" s="10" t="s">
        <v>34</v>
      </c>
      <c r="J72" s="7">
        <v>1080.56</v>
      </c>
      <c r="K72" s="7">
        <v>7618.0599999999995</v>
      </c>
    </row>
    <row r="73" ht="15.75" customHeight="1" outlineLevel="4">
      <c r="B73" s="10" t="s">
        <v>120</v>
      </c>
      <c r="C73" s="10" t="s">
        <v>78</v>
      </c>
      <c r="D73" s="10" t="s">
        <v>62</v>
      </c>
      <c r="E73" s="10" t="s">
        <v>232</v>
      </c>
      <c r="F73" s="10" t="s">
        <v>62</v>
      </c>
      <c r="G73" s="10" t="s">
        <v>62</v>
      </c>
      <c r="H73" s="10" t="s">
        <v>265</v>
      </c>
      <c r="I73" s="10" t="s">
        <v>34</v>
      </c>
      <c r="J73" s="7">
        <v>653.95</v>
      </c>
      <c r="K73" s="7">
        <v>8272.01</v>
      </c>
    </row>
    <row r="74" ht="15.75" customHeight="1" outlineLevel="4">
      <c r="B74" s="10" t="s">
        <v>120</v>
      </c>
      <c r="C74" s="10" t="s">
        <v>78</v>
      </c>
      <c r="D74" s="10" t="s">
        <v>62</v>
      </c>
      <c r="E74" s="10" t="s">
        <v>242</v>
      </c>
      <c r="F74" s="10" t="s">
        <v>62</v>
      </c>
      <c r="G74" s="10" t="s">
        <v>62</v>
      </c>
      <c r="H74" s="10" t="s">
        <v>243</v>
      </c>
      <c r="I74" s="10" t="s">
        <v>34</v>
      </c>
      <c r="J74" s="7">
        <v>165.05</v>
      </c>
      <c r="K74" s="7">
        <v>8437.06</v>
      </c>
    </row>
    <row r="75" ht="15.75" customHeight="1" outlineLevel="4">
      <c r="B75" s="10" t="s">
        <v>123</v>
      </c>
      <c r="C75" s="10" t="s">
        <v>78</v>
      </c>
      <c r="D75" s="10" t="s">
        <v>62</v>
      </c>
      <c r="E75" s="10" t="s">
        <v>222</v>
      </c>
      <c r="F75" s="10" t="s">
        <v>62</v>
      </c>
      <c r="G75" s="10" t="s">
        <v>62</v>
      </c>
      <c r="H75" s="10" t="s">
        <v>270</v>
      </c>
      <c r="I75" s="10" t="s">
        <v>34</v>
      </c>
      <c r="J75" s="7">
        <v>10000.0</v>
      </c>
      <c r="K75" s="7">
        <v>18437.059999999998</v>
      </c>
    </row>
    <row r="76" ht="15.75" customHeight="1" outlineLevel="4">
      <c r="B76" s="10" t="s">
        <v>123</v>
      </c>
      <c r="C76" s="10" t="s">
        <v>78</v>
      </c>
      <c r="D76" s="10" t="s">
        <v>62</v>
      </c>
      <c r="E76" s="10" t="s">
        <v>271</v>
      </c>
      <c r="F76" s="10" t="s">
        <v>62</v>
      </c>
      <c r="G76" s="10" t="s">
        <v>62</v>
      </c>
      <c r="H76" s="10" t="s">
        <v>272</v>
      </c>
      <c r="I76" s="10" t="s">
        <v>34</v>
      </c>
      <c r="J76" s="7">
        <v>3210.96</v>
      </c>
      <c r="K76" s="7">
        <v>21648.019999999997</v>
      </c>
    </row>
    <row r="77" ht="15.75" customHeight="1" outlineLevel="4">
      <c r="B77" s="10" t="s">
        <v>124</v>
      </c>
      <c r="C77" s="10" t="s">
        <v>78</v>
      </c>
      <c r="D77" s="10" t="s">
        <v>62</v>
      </c>
      <c r="E77" s="10" t="s">
        <v>274</v>
      </c>
      <c r="F77" s="10" t="s">
        <v>62</v>
      </c>
      <c r="G77" s="10" t="s">
        <v>62</v>
      </c>
      <c r="H77" s="10" t="s">
        <v>275</v>
      </c>
      <c r="I77" s="10" t="s">
        <v>34</v>
      </c>
      <c r="J77" s="7">
        <v>1030.0</v>
      </c>
      <c r="K77" s="7">
        <v>22678.019999999997</v>
      </c>
    </row>
    <row r="78" ht="15.75" customHeight="1" outlineLevel="4">
      <c r="B78" s="10" t="s">
        <v>285</v>
      </c>
      <c r="C78" s="10" t="s">
        <v>78</v>
      </c>
      <c r="D78" s="10" t="s">
        <v>62</v>
      </c>
      <c r="E78" s="10" t="s">
        <v>222</v>
      </c>
      <c r="F78" s="10" t="s">
        <v>62</v>
      </c>
      <c r="G78" s="10" t="s">
        <v>62</v>
      </c>
      <c r="H78" s="10" t="s">
        <v>270</v>
      </c>
      <c r="I78" s="10" t="s">
        <v>34</v>
      </c>
      <c r="J78" s="7">
        <v>1938.0</v>
      </c>
      <c r="K78" s="7">
        <v>24616.019999999997</v>
      </c>
    </row>
    <row r="79" ht="15.75" customHeight="1" outlineLevel="4">
      <c r="B79" s="10" t="s">
        <v>288</v>
      </c>
      <c r="C79" s="10" t="s">
        <v>78</v>
      </c>
      <c r="D79" s="10" t="s">
        <v>62</v>
      </c>
      <c r="E79" s="10" t="s">
        <v>83</v>
      </c>
      <c r="F79" s="10" t="s">
        <v>62</v>
      </c>
      <c r="G79" s="10" t="s">
        <v>62</v>
      </c>
      <c r="H79" s="10" t="s">
        <v>290</v>
      </c>
      <c r="I79" s="10" t="s">
        <v>34</v>
      </c>
      <c r="J79" s="7">
        <v>3042.0</v>
      </c>
      <c r="K79" s="7">
        <v>27658.019999999997</v>
      </c>
    </row>
    <row r="80" ht="15.75" customHeight="1" outlineLevel="4">
      <c r="B80" s="10" t="s">
        <v>132</v>
      </c>
      <c r="C80" s="10" t="s">
        <v>78</v>
      </c>
      <c r="D80" s="10" t="s">
        <v>62</v>
      </c>
      <c r="E80" s="10" t="s">
        <v>194</v>
      </c>
      <c r="F80" s="10" t="s">
        <v>62</v>
      </c>
      <c r="G80" s="10" t="s">
        <v>62</v>
      </c>
      <c r="H80" s="10" t="s">
        <v>195</v>
      </c>
      <c r="I80" s="10" t="s">
        <v>33</v>
      </c>
      <c r="J80" s="7">
        <v>723.0</v>
      </c>
      <c r="K80" s="7">
        <v>28381.019999999997</v>
      </c>
    </row>
    <row r="81" ht="15.75" customHeight="1" outlineLevel="4">
      <c r="B81" s="10" t="s">
        <v>132</v>
      </c>
      <c r="C81" s="10" t="s">
        <v>78</v>
      </c>
      <c r="D81" s="10" t="s">
        <v>62</v>
      </c>
      <c r="E81" s="10" t="s">
        <v>194</v>
      </c>
      <c r="F81" s="10" t="s">
        <v>62</v>
      </c>
      <c r="G81" s="10" t="s">
        <v>62</v>
      </c>
      <c r="H81" s="10" t="s">
        <v>195</v>
      </c>
      <c r="I81" s="10" t="s">
        <v>33</v>
      </c>
      <c r="J81" s="7">
        <v>1968.0</v>
      </c>
      <c r="K81" s="7">
        <v>30349.019999999997</v>
      </c>
    </row>
    <row r="82" ht="15.75" customHeight="1" outlineLevel="4">
      <c r="B82" s="10" t="s">
        <v>141</v>
      </c>
      <c r="C82" s="10" t="s">
        <v>78</v>
      </c>
      <c r="D82" s="10" t="s">
        <v>62</v>
      </c>
      <c r="E82" s="10" t="s">
        <v>263</v>
      </c>
      <c r="F82" s="10" t="s">
        <v>62</v>
      </c>
      <c r="G82" s="10" t="s">
        <v>62</v>
      </c>
      <c r="H82" s="10" t="s">
        <v>264</v>
      </c>
      <c r="I82" s="10" t="s">
        <v>34</v>
      </c>
      <c r="J82" s="7">
        <v>4383.98</v>
      </c>
      <c r="K82" s="7">
        <v>34733.0</v>
      </c>
    </row>
    <row r="83" ht="15.75" customHeight="1" outlineLevel="4">
      <c r="B83" s="10" t="s">
        <v>151</v>
      </c>
      <c r="C83" s="10" t="s">
        <v>157</v>
      </c>
      <c r="D83" s="10" t="s">
        <v>170</v>
      </c>
      <c r="E83" s="10" t="s">
        <v>62</v>
      </c>
      <c r="F83" s="10" t="s">
        <v>62</v>
      </c>
      <c r="G83" s="10" t="s">
        <v>62</v>
      </c>
      <c r="H83" s="10" t="s">
        <v>171</v>
      </c>
      <c r="I83" s="10" t="s">
        <v>62</v>
      </c>
      <c r="J83" s="7">
        <v>-24578.26</v>
      </c>
      <c r="K83" s="7">
        <v>10154.740000000002</v>
      </c>
    </row>
    <row r="84" ht="15.75" customHeight="1" outlineLevel="3">
      <c r="A84" s="15" t="s">
        <v>382</v>
      </c>
      <c r="B84" s="4"/>
      <c r="C84" s="4"/>
      <c r="D84" s="4"/>
      <c r="E84" s="4"/>
      <c r="F84" s="4"/>
      <c r="G84" s="4"/>
      <c r="H84" s="4"/>
      <c r="I84" s="4"/>
      <c r="J84" s="9">
        <f>J65+J66+J67+J68+J69+J70+J71+J72+J73+J74+J75+J76+J77+J78+J79+J80+J81+J82+J83</f>
        <v>10154.74</v>
      </c>
      <c r="K84" s="4"/>
    </row>
    <row r="85" ht="15.75" customHeight="1" outlineLevel="3">
      <c r="A85" s="13" t="s">
        <v>224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 outlineLevel="4">
      <c r="B86" s="10" t="s">
        <v>74</v>
      </c>
      <c r="C86" s="10" t="s">
        <v>78</v>
      </c>
      <c r="D86" s="10" t="s">
        <v>62</v>
      </c>
      <c r="E86" s="10" t="s">
        <v>222</v>
      </c>
      <c r="F86" s="10" t="s">
        <v>62</v>
      </c>
      <c r="G86" s="10" t="s">
        <v>62</v>
      </c>
      <c r="H86" s="10" t="s">
        <v>223</v>
      </c>
      <c r="I86" s="10" t="s">
        <v>34</v>
      </c>
      <c r="J86" s="7">
        <v>1279.34</v>
      </c>
      <c r="K86" s="7">
        <v>1279.34</v>
      </c>
    </row>
    <row r="87" ht="15.75" customHeight="1" outlineLevel="4">
      <c r="B87" s="10" t="s">
        <v>97</v>
      </c>
      <c r="C87" s="10" t="s">
        <v>78</v>
      </c>
      <c r="D87" s="10" t="s">
        <v>62</v>
      </c>
      <c r="E87" s="10" t="s">
        <v>234</v>
      </c>
      <c r="F87" s="10" t="s">
        <v>62</v>
      </c>
      <c r="G87" s="10" t="s">
        <v>62</v>
      </c>
      <c r="H87" s="10" t="s">
        <v>235</v>
      </c>
      <c r="I87" s="10" t="s">
        <v>34</v>
      </c>
      <c r="J87" s="7">
        <v>32.31</v>
      </c>
      <c r="K87" s="7">
        <v>1311.6499999999999</v>
      </c>
    </row>
    <row r="88" ht="15.75" customHeight="1" outlineLevel="4">
      <c r="B88" s="10" t="s">
        <v>97</v>
      </c>
      <c r="C88" s="10" t="s">
        <v>78</v>
      </c>
      <c r="D88" s="10" t="s">
        <v>62</v>
      </c>
      <c r="E88" s="10" t="s">
        <v>234</v>
      </c>
      <c r="F88" s="10" t="s">
        <v>62</v>
      </c>
      <c r="G88" s="10" t="s">
        <v>62</v>
      </c>
      <c r="H88" s="10" t="s">
        <v>236</v>
      </c>
      <c r="I88" s="10" t="s">
        <v>34</v>
      </c>
      <c r="J88" s="7">
        <v>10.34</v>
      </c>
      <c r="K88" s="7">
        <v>1321.9899999999998</v>
      </c>
    </row>
    <row r="89" ht="15.75" customHeight="1" outlineLevel="4">
      <c r="B89" s="10" t="s">
        <v>104</v>
      </c>
      <c r="C89" s="10" t="s">
        <v>78</v>
      </c>
      <c r="D89" s="10" t="s">
        <v>62</v>
      </c>
      <c r="E89" s="10" t="s">
        <v>234</v>
      </c>
      <c r="F89" s="10" t="s">
        <v>62</v>
      </c>
      <c r="G89" s="10" t="s">
        <v>62</v>
      </c>
      <c r="H89" s="10" t="s">
        <v>236</v>
      </c>
      <c r="I89" s="10" t="s">
        <v>34</v>
      </c>
      <c r="J89" s="7">
        <v>10.34</v>
      </c>
      <c r="K89" s="7">
        <v>1332.3299999999997</v>
      </c>
    </row>
    <row r="90" ht="15.75" customHeight="1" outlineLevel="4">
      <c r="B90" s="10" t="s">
        <v>104</v>
      </c>
      <c r="C90" s="10" t="s">
        <v>78</v>
      </c>
      <c r="D90" s="10" t="s">
        <v>62</v>
      </c>
      <c r="E90" s="10" t="s">
        <v>240</v>
      </c>
      <c r="F90" s="10" t="s">
        <v>62</v>
      </c>
      <c r="G90" s="10" t="s">
        <v>62</v>
      </c>
      <c r="H90" s="10" t="s">
        <v>241</v>
      </c>
      <c r="I90" s="10" t="s">
        <v>34</v>
      </c>
      <c r="J90" s="7">
        <v>273.0</v>
      </c>
      <c r="K90" s="7">
        <v>1605.3299999999997</v>
      </c>
    </row>
    <row r="91" ht="15.75" customHeight="1" outlineLevel="4">
      <c r="B91" s="10" t="s">
        <v>245</v>
      </c>
      <c r="C91" s="10" t="s">
        <v>78</v>
      </c>
      <c r="D91" s="10" t="s">
        <v>62</v>
      </c>
      <c r="E91" s="10" t="s">
        <v>234</v>
      </c>
      <c r="F91" s="10" t="s">
        <v>62</v>
      </c>
      <c r="G91" s="10" t="s">
        <v>62</v>
      </c>
      <c r="H91" s="10" t="s">
        <v>246</v>
      </c>
      <c r="I91" s="10" t="s">
        <v>34</v>
      </c>
      <c r="J91" s="7">
        <v>16.32</v>
      </c>
      <c r="K91" s="7">
        <v>1621.6499999999996</v>
      </c>
    </row>
    <row r="92" ht="15.75" customHeight="1" outlineLevel="4">
      <c r="B92" s="10" t="s">
        <v>193</v>
      </c>
      <c r="C92" s="10" t="s">
        <v>78</v>
      </c>
      <c r="D92" s="10" t="s">
        <v>62</v>
      </c>
      <c r="E92" s="10" t="s">
        <v>234</v>
      </c>
      <c r="F92" s="10" t="s">
        <v>62</v>
      </c>
      <c r="G92" s="10" t="s">
        <v>62</v>
      </c>
      <c r="H92" s="10" t="s">
        <v>235</v>
      </c>
      <c r="I92" s="10" t="s">
        <v>34</v>
      </c>
      <c r="J92" s="7">
        <v>71.61</v>
      </c>
      <c r="K92" s="7">
        <v>1693.2599999999995</v>
      </c>
    </row>
    <row r="93" ht="15.75" customHeight="1" outlineLevel="4">
      <c r="B93" s="10" t="s">
        <v>193</v>
      </c>
      <c r="C93" s="10" t="s">
        <v>78</v>
      </c>
      <c r="D93" s="10" t="s">
        <v>62</v>
      </c>
      <c r="E93" s="10" t="s">
        <v>234</v>
      </c>
      <c r="F93" s="10" t="s">
        <v>62</v>
      </c>
      <c r="G93" s="10" t="s">
        <v>62</v>
      </c>
      <c r="H93" s="10" t="s">
        <v>236</v>
      </c>
      <c r="I93" s="10" t="s">
        <v>34</v>
      </c>
      <c r="J93" s="7">
        <v>7.43</v>
      </c>
      <c r="K93" s="7">
        <v>1700.6899999999996</v>
      </c>
    </row>
    <row r="94" ht="15.75" customHeight="1" outlineLevel="4">
      <c r="B94" s="10" t="s">
        <v>113</v>
      </c>
      <c r="C94" s="10" t="s">
        <v>78</v>
      </c>
      <c r="D94" s="10" t="s">
        <v>62</v>
      </c>
      <c r="E94" s="10" t="s">
        <v>234</v>
      </c>
      <c r="F94" s="10" t="s">
        <v>62</v>
      </c>
      <c r="G94" s="10" t="s">
        <v>62</v>
      </c>
      <c r="H94" s="10" t="s">
        <v>235</v>
      </c>
      <c r="I94" s="10" t="s">
        <v>34</v>
      </c>
      <c r="J94" s="7">
        <v>15.07</v>
      </c>
      <c r="K94" s="7">
        <v>1715.7599999999995</v>
      </c>
    </row>
    <row r="95" ht="15.75" customHeight="1" outlineLevel="4">
      <c r="B95" s="10" t="s">
        <v>113</v>
      </c>
      <c r="C95" s="10" t="s">
        <v>78</v>
      </c>
      <c r="D95" s="10" t="s">
        <v>62</v>
      </c>
      <c r="E95" s="10" t="s">
        <v>234</v>
      </c>
      <c r="F95" s="10" t="s">
        <v>62</v>
      </c>
      <c r="G95" s="10" t="s">
        <v>62</v>
      </c>
      <c r="H95" s="10" t="s">
        <v>236</v>
      </c>
      <c r="I95" s="10" t="s">
        <v>34</v>
      </c>
      <c r="J95" s="7">
        <v>19.82</v>
      </c>
      <c r="K95" s="7">
        <v>1735.5799999999995</v>
      </c>
    </row>
    <row r="96" ht="15.75" customHeight="1" outlineLevel="4">
      <c r="B96" s="10" t="s">
        <v>113</v>
      </c>
      <c r="C96" s="10" t="s">
        <v>78</v>
      </c>
      <c r="D96" s="10" t="s">
        <v>62</v>
      </c>
      <c r="E96" s="10" t="s">
        <v>234</v>
      </c>
      <c r="F96" s="10" t="s">
        <v>62</v>
      </c>
      <c r="G96" s="10" t="s">
        <v>62</v>
      </c>
      <c r="H96" s="10" t="s">
        <v>236</v>
      </c>
      <c r="I96" s="10" t="s">
        <v>34</v>
      </c>
      <c r="J96" s="7">
        <v>15.54</v>
      </c>
      <c r="K96" s="7">
        <v>1751.1199999999994</v>
      </c>
    </row>
    <row r="97" ht="15.75" customHeight="1" outlineLevel="4">
      <c r="B97" s="10" t="s">
        <v>123</v>
      </c>
      <c r="C97" s="10" t="s">
        <v>78</v>
      </c>
      <c r="D97" s="10" t="s">
        <v>62</v>
      </c>
      <c r="E97" s="10" t="s">
        <v>234</v>
      </c>
      <c r="F97" s="10" t="s">
        <v>62</v>
      </c>
      <c r="G97" s="10" t="s">
        <v>62</v>
      </c>
      <c r="H97" s="10" t="s">
        <v>235</v>
      </c>
      <c r="I97" s="10" t="s">
        <v>34</v>
      </c>
      <c r="J97" s="7">
        <v>74.35</v>
      </c>
      <c r="K97" s="7">
        <v>1825.4699999999993</v>
      </c>
    </row>
    <row r="98" ht="15.75" customHeight="1" outlineLevel="4">
      <c r="B98" s="10" t="s">
        <v>123</v>
      </c>
      <c r="C98" s="10" t="s">
        <v>78</v>
      </c>
      <c r="D98" s="10" t="s">
        <v>62</v>
      </c>
      <c r="E98" s="10" t="s">
        <v>234</v>
      </c>
      <c r="F98" s="10" t="s">
        <v>62</v>
      </c>
      <c r="G98" s="10" t="s">
        <v>62</v>
      </c>
      <c r="H98" s="10" t="s">
        <v>236</v>
      </c>
      <c r="I98" s="10" t="s">
        <v>34</v>
      </c>
      <c r="J98" s="7">
        <v>29.09</v>
      </c>
      <c r="K98" s="7">
        <v>1854.5599999999993</v>
      </c>
    </row>
    <row r="99" ht="15.75" customHeight="1" outlineLevel="4">
      <c r="B99" s="10" t="s">
        <v>123</v>
      </c>
      <c r="C99" s="10" t="s">
        <v>78</v>
      </c>
      <c r="D99" s="10" t="s">
        <v>62</v>
      </c>
      <c r="E99" s="10" t="s">
        <v>234</v>
      </c>
      <c r="F99" s="10" t="s">
        <v>62</v>
      </c>
      <c r="G99" s="10" t="s">
        <v>62</v>
      </c>
      <c r="H99" s="10" t="s">
        <v>236</v>
      </c>
      <c r="I99" s="10" t="s">
        <v>34</v>
      </c>
      <c r="J99" s="7">
        <v>60.34</v>
      </c>
      <c r="K99" s="7">
        <v>1914.8999999999992</v>
      </c>
    </row>
    <row r="100" ht="15.75" customHeight="1" outlineLevel="4">
      <c r="B100" s="10" t="s">
        <v>126</v>
      </c>
      <c r="C100" s="10" t="s">
        <v>78</v>
      </c>
      <c r="D100" s="10" t="s">
        <v>62</v>
      </c>
      <c r="E100" s="10" t="s">
        <v>234</v>
      </c>
      <c r="F100" s="10" t="s">
        <v>62</v>
      </c>
      <c r="G100" s="10" t="s">
        <v>62</v>
      </c>
      <c r="H100" s="10" t="s">
        <v>235</v>
      </c>
      <c r="I100" s="10" t="s">
        <v>34</v>
      </c>
      <c r="J100" s="7">
        <v>31.55</v>
      </c>
      <c r="K100" s="7">
        <v>1946.4499999999991</v>
      </c>
    </row>
    <row r="101" ht="15.75" customHeight="1" outlineLevel="4">
      <c r="B101" s="10" t="s">
        <v>126</v>
      </c>
      <c r="C101" s="10" t="s">
        <v>78</v>
      </c>
      <c r="D101" s="10" t="s">
        <v>62</v>
      </c>
      <c r="E101" s="10" t="s">
        <v>234</v>
      </c>
      <c r="F101" s="10" t="s">
        <v>62</v>
      </c>
      <c r="G101" s="10" t="s">
        <v>62</v>
      </c>
      <c r="H101" s="10" t="s">
        <v>236</v>
      </c>
      <c r="I101" s="10" t="s">
        <v>34</v>
      </c>
      <c r="J101" s="7">
        <v>3.87</v>
      </c>
      <c r="K101" s="7">
        <v>1950.319999999999</v>
      </c>
    </row>
    <row r="102" ht="15.75" customHeight="1" outlineLevel="4">
      <c r="B102" s="10" t="s">
        <v>130</v>
      </c>
      <c r="C102" s="10" t="s">
        <v>78</v>
      </c>
      <c r="D102" s="10" t="s">
        <v>62</v>
      </c>
      <c r="E102" s="10" t="s">
        <v>234</v>
      </c>
      <c r="F102" s="10" t="s">
        <v>62</v>
      </c>
      <c r="G102" s="10" t="s">
        <v>62</v>
      </c>
      <c r="H102" s="10" t="s">
        <v>235</v>
      </c>
      <c r="I102" s="10" t="s">
        <v>34</v>
      </c>
      <c r="J102" s="7">
        <v>37.94</v>
      </c>
      <c r="K102" s="7">
        <v>1988.259999999999</v>
      </c>
    </row>
    <row r="103" ht="15.75" customHeight="1" outlineLevel="4">
      <c r="B103" s="10" t="s">
        <v>130</v>
      </c>
      <c r="C103" s="10" t="s">
        <v>78</v>
      </c>
      <c r="D103" s="10" t="s">
        <v>62</v>
      </c>
      <c r="E103" s="10" t="s">
        <v>234</v>
      </c>
      <c r="F103" s="10" t="s">
        <v>62</v>
      </c>
      <c r="G103" s="10" t="s">
        <v>62</v>
      </c>
      <c r="H103" s="10" t="s">
        <v>236</v>
      </c>
      <c r="I103" s="10" t="s">
        <v>34</v>
      </c>
      <c r="J103" s="7">
        <v>15.85</v>
      </c>
      <c r="K103" s="7">
        <v>2004.109999999999</v>
      </c>
    </row>
    <row r="104" ht="15.75" customHeight="1" outlineLevel="4">
      <c r="B104" s="10" t="s">
        <v>130</v>
      </c>
      <c r="C104" s="10" t="s">
        <v>78</v>
      </c>
      <c r="D104" s="10" t="s">
        <v>62</v>
      </c>
      <c r="E104" s="10" t="s">
        <v>234</v>
      </c>
      <c r="F104" s="10" t="s">
        <v>62</v>
      </c>
      <c r="G104" s="10" t="s">
        <v>62</v>
      </c>
      <c r="H104" s="10" t="s">
        <v>236</v>
      </c>
      <c r="I104" s="10" t="s">
        <v>34</v>
      </c>
      <c r="J104" s="7">
        <v>8.49</v>
      </c>
      <c r="K104" s="7">
        <v>2012.599999999999</v>
      </c>
    </row>
    <row r="105" ht="15.75" customHeight="1" outlineLevel="4">
      <c r="B105" s="10" t="s">
        <v>130</v>
      </c>
      <c r="C105" s="10" t="s">
        <v>78</v>
      </c>
      <c r="D105" s="10" t="s">
        <v>62</v>
      </c>
      <c r="E105" s="10" t="s">
        <v>234</v>
      </c>
      <c r="F105" s="10" t="s">
        <v>62</v>
      </c>
      <c r="G105" s="10" t="s">
        <v>62</v>
      </c>
      <c r="H105" s="10" t="s">
        <v>236</v>
      </c>
      <c r="I105" s="10" t="s">
        <v>34</v>
      </c>
      <c r="J105" s="7">
        <v>17.93</v>
      </c>
      <c r="K105" s="7">
        <v>2030.529999999999</v>
      </c>
    </row>
    <row r="106" ht="15.75" customHeight="1" outlineLevel="4">
      <c r="B106" s="10" t="s">
        <v>151</v>
      </c>
      <c r="C106" s="10" t="s">
        <v>78</v>
      </c>
      <c r="D106" s="10" t="s">
        <v>62</v>
      </c>
      <c r="E106" s="10" t="s">
        <v>234</v>
      </c>
      <c r="F106" s="10" t="s">
        <v>62</v>
      </c>
      <c r="G106" s="10" t="s">
        <v>62</v>
      </c>
      <c r="H106" s="10" t="s">
        <v>236</v>
      </c>
      <c r="I106" s="10" t="s">
        <v>34</v>
      </c>
      <c r="J106" s="7">
        <v>10.23</v>
      </c>
      <c r="K106" s="7">
        <v>2040.759999999999</v>
      </c>
    </row>
    <row r="107" ht="15.75" customHeight="1" outlineLevel="4">
      <c r="B107" s="10" t="s">
        <v>151</v>
      </c>
      <c r="C107" s="10" t="s">
        <v>157</v>
      </c>
      <c r="D107" s="10" t="s">
        <v>170</v>
      </c>
      <c r="E107" s="10" t="s">
        <v>62</v>
      </c>
      <c r="F107" s="10" t="s">
        <v>62</v>
      </c>
      <c r="G107" s="10" t="s">
        <v>62</v>
      </c>
      <c r="H107" s="10" t="s">
        <v>171</v>
      </c>
      <c r="I107" s="10" t="s">
        <v>62</v>
      </c>
      <c r="J107" s="7">
        <v>6947.87</v>
      </c>
      <c r="K107" s="7">
        <v>8988.63</v>
      </c>
    </row>
    <row r="108" ht="15.75" customHeight="1" outlineLevel="3">
      <c r="A108" s="15" t="s">
        <v>383</v>
      </c>
      <c r="B108" s="4"/>
      <c r="C108" s="4"/>
      <c r="D108" s="4"/>
      <c r="E108" s="4"/>
      <c r="F108" s="4"/>
      <c r="G108" s="4"/>
      <c r="H108" s="4"/>
      <c r="I108" s="4"/>
      <c r="J108" s="9">
        <f>J85+J86+J87+J88+J89+J90+J91+J92+J93+J94+J95+J96+J97+J98+J99+J100+J101+J102+J103+J104+J105+J106+J107</f>
        <v>8988.63</v>
      </c>
      <c r="K108" s="4"/>
    </row>
    <row r="109" ht="15.75" customHeight="1" outlineLevel="2">
      <c r="A109" s="15" t="s">
        <v>384</v>
      </c>
      <c r="B109" s="4"/>
      <c r="C109" s="4"/>
      <c r="D109" s="4"/>
      <c r="E109" s="4"/>
      <c r="F109" s="4"/>
      <c r="G109" s="4"/>
      <c r="H109" s="4"/>
      <c r="I109" s="4"/>
      <c r="J109" s="9">
        <f>J64+J84+J108</f>
        <v>19143.37</v>
      </c>
      <c r="K109" s="4"/>
    </row>
    <row r="110" ht="15.75" customHeight="1" outlineLevel="1">
      <c r="A110" s="15" t="s">
        <v>385</v>
      </c>
      <c r="B110" s="4"/>
      <c r="C110" s="4"/>
      <c r="D110" s="4"/>
      <c r="E110" s="4"/>
      <c r="F110" s="4"/>
      <c r="G110" s="4"/>
      <c r="H110" s="4"/>
      <c r="I110" s="4"/>
      <c r="J110" s="9">
        <f>J63+J109</f>
        <v>19143.37</v>
      </c>
      <c r="K110" s="4"/>
    </row>
    <row r="111" ht="15.75" customHeight="1" outlineLevel="1">
      <c r="A111" s="15" t="s">
        <v>346</v>
      </c>
      <c r="B111" s="4"/>
      <c r="C111" s="4"/>
      <c r="D111" s="4"/>
      <c r="E111" s="4"/>
      <c r="F111" s="4"/>
      <c r="G111" s="4"/>
      <c r="H111" s="4"/>
      <c r="I111" s="4"/>
      <c r="J111" s="9">
        <v>58477.21</v>
      </c>
      <c r="K111" s="4"/>
    </row>
    <row r="112" ht="15.75" customHeight="1" outlineLevel="1">
      <c r="B112" s="10" t="s">
        <v>347</v>
      </c>
      <c r="C112" s="4"/>
      <c r="D112" s="4"/>
      <c r="E112" s="4"/>
      <c r="F112" s="4"/>
      <c r="G112" s="4"/>
      <c r="H112" s="4"/>
      <c r="I112" s="4"/>
      <c r="J112" s="10"/>
      <c r="K112" s="4"/>
    </row>
    <row r="113" ht="15.75" customHeight="1">
      <c r="A113" s="15" t="s">
        <v>386</v>
      </c>
      <c r="B113" s="4"/>
      <c r="C113" s="4"/>
      <c r="D113" s="4"/>
      <c r="E113" s="4"/>
      <c r="F113" s="4"/>
      <c r="G113" s="4"/>
      <c r="H113" s="4"/>
      <c r="I113" s="4"/>
      <c r="J113" s="9">
        <v>58477.21</v>
      </c>
      <c r="K113" s="4"/>
    </row>
    <row r="114" ht="15.75" customHeight="1">
      <c r="A114" s="13" t="s">
        <v>387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 outlineLevel="1">
      <c r="B115" s="10" t="s">
        <v>363</v>
      </c>
      <c r="C115" s="4"/>
      <c r="D115" s="4"/>
      <c r="E115" s="4"/>
      <c r="F115" s="4"/>
      <c r="G115" s="4"/>
      <c r="H115" s="4"/>
      <c r="I115" s="4"/>
      <c r="J115" s="10"/>
      <c r="K115" s="4"/>
    </row>
    <row r="116" ht="15.75" customHeight="1" outlineLevel="1">
      <c r="B116" s="10" t="s">
        <v>388</v>
      </c>
      <c r="C116" s="4"/>
      <c r="D116" s="4"/>
      <c r="E116" s="4"/>
      <c r="F116" s="4"/>
      <c r="G116" s="4"/>
      <c r="H116" s="4"/>
      <c r="I116" s="4"/>
      <c r="J116" s="10"/>
      <c r="K116" s="4"/>
    </row>
    <row r="117" ht="15.75" customHeight="1">
      <c r="A117" s="15" t="s">
        <v>371</v>
      </c>
      <c r="B117" s="4"/>
      <c r="C117" s="4"/>
      <c r="D117" s="4"/>
      <c r="E117" s="4"/>
      <c r="F117" s="4"/>
      <c r="G117" s="4"/>
      <c r="H117" s="4"/>
      <c r="I117" s="4"/>
      <c r="J117" s="17"/>
      <c r="K117" s="4"/>
    </row>
    <row r="118" ht="15.75" customHeight="1">
      <c r="A118" s="15" t="s">
        <v>56</v>
      </c>
      <c r="B118" s="4"/>
      <c r="C118" s="4"/>
      <c r="D118" s="4"/>
      <c r="E118" s="4"/>
      <c r="F118" s="4"/>
      <c r="G118" s="4"/>
      <c r="H118" s="4"/>
      <c r="I118" s="4"/>
      <c r="J118" s="9">
        <v>58477.21</v>
      </c>
      <c r="K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11" t="s">
        <v>389</v>
      </c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122:K1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 outlineLevelRow="2"/>
  <cols>
    <col customWidth="1" min="1" max="1" width="34.11"/>
    <col customWidth="1" min="2" max="2" width="10.44"/>
    <col customWidth="1" min="3" max="3" width="11.0"/>
    <col customWidth="1" min="4" max="4" width="9.22"/>
    <col customWidth="1" min="5" max="5" width="8.0"/>
    <col customWidth="1" min="6" max="6" width="7.67"/>
    <col customWidth="1" min="7" max="7" width="8.22"/>
    <col customWidth="1" min="8" max="8" width="7.67"/>
    <col customWidth="1" min="9" max="9" width="9.78"/>
    <col customWidth="1" min="10" max="10" width="12.67"/>
    <col customWidth="1" min="11" max="11" width="10.44"/>
    <col customWidth="1" min="12" max="12" width="12.0"/>
    <col customWidth="1" min="13" max="13" width="12.11"/>
    <col customWidth="1" min="14" max="14" width="8.33"/>
  </cols>
  <sheetData>
    <row r="1" ht="15.75" customHeight="1">
      <c r="A1" s="1" t="s">
        <v>390</v>
      </c>
    </row>
    <row r="2" ht="15.75" customHeight="1">
      <c r="A2" s="2" t="s">
        <v>1</v>
      </c>
    </row>
    <row r="3" ht="15.75" customHeight="1">
      <c r="A3" s="3" t="s">
        <v>391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5" t="s">
        <v>3</v>
      </c>
      <c r="B5" s="5" t="s">
        <v>323</v>
      </c>
      <c r="C5" s="5" t="s">
        <v>324</v>
      </c>
      <c r="D5" s="5" t="s">
        <v>325</v>
      </c>
      <c r="E5" s="5" t="s">
        <v>326</v>
      </c>
      <c r="F5" s="5" t="s">
        <v>327</v>
      </c>
      <c r="G5" s="5" t="s">
        <v>328</v>
      </c>
      <c r="H5" s="5" t="s">
        <v>329</v>
      </c>
      <c r="I5" s="5" t="s">
        <v>330</v>
      </c>
      <c r="J5" s="5" t="s">
        <v>331</v>
      </c>
      <c r="K5" s="5" t="s">
        <v>332</v>
      </c>
      <c r="L5" s="5" t="s">
        <v>333</v>
      </c>
      <c r="M5" s="5" t="s">
        <v>61</v>
      </c>
      <c r="N5" s="5" t="s">
        <v>4</v>
      </c>
    </row>
    <row r="6" ht="15.75" customHeight="1">
      <c r="A6" s="6" t="s">
        <v>339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4"/>
    </row>
    <row r="7" ht="15.75" customHeight="1" outlineLevel="1">
      <c r="A7" s="6" t="s">
        <v>85</v>
      </c>
      <c r="B7" s="7">
        <v>2610.0</v>
      </c>
      <c r="C7" s="7">
        <v>1025.0</v>
      </c>
      <c r="D7" s="7">
        <v>1505.0</v>
      </c>
      <c r="E7" s="7">
        <v>1665.0</v>
      </c>
      <c r="F7" s="7">
        <v>1815.0</v>
      </c>
      <c r="G7" s="7">
        <v>510.0</v>
      </c>
      <c r="H7" s="7">
        <v>340.0</v>
      </c>
      <c r="I7" s="7">
        <v>2382.46</v>
      </c>
      <c r="J7" s="7">
        <v>1150.0</v>
      </c>
      <c r="K7" s="7">
        <v>1660.0</v>
      </c>
      <c r="L7" s="7">
        <v>1150.0</v>
      </c>
      <c r="M7" s="7">
        <v>335.0</v>
      </c>
      <c r="N7" s="7">
        <f t="shared" ref="N7:N10" si="1">B7+C7+D7+E7+F7+G7+H7+I7+J7+K7+L7+M7</f>
        <v>16147.46</v>
      </c>
    </row>
    <row r="8" ht="15.75" customHeight="1" outlineLevel="1">
      <c r="A8" s="6" t="s">
        <v>340</v>
      </c>
      <c r="B8" s="7">
        <v>2090.0</v>
      </c>
      <c r="C8" s="7">
        <v>4594.07</v>
      </c>
      <c r="D8" s="7">
        <v>2063.25</v>
      </c>
      <c r="E8" s="7">
        <v>4053.48</v>
      </c>
      <c r="F8" s="7">
        <v>4580.0</v>
      </c>
      <c r="G8" s="7">
        <v>2981.8</v>
      </c>
      <c r="H8" s="7">
        <v>2808.51</v>
      </c>
      <c r="I8" s="7">
        <v>4647.5</v>
      </c>
      <c r="J8" s="7">
        <v>5931.44</v>
      </c>
      <c r="K8" s="7">
        <v>3692.5</v>
      </c>
      <c r="L8" s="7">
        <v>4893.6</v>
      </c>
      <c r="M8" s="7">
        <v>2730.08</v>
      </c>
      <c r="N8" s="7">
        <f t="shared" si="1"/>
        <v>45066.23</v>
      </c>
    </row>
    <row r="9" ht="15.75" customHeight="1" outlineLevel="1">
      <c r="A9" s="6" t="s">
        <v>77</v>
      </c>
      <c r="B9" s="7">
        <v>55376.89</v>
      </c>
      <c r="C9" s="7">
        <v>67410.88</v>
      </c>
      <c r="D9" s="7">
        <v>73303.67</v>
      </c>
      <c r="E9" s="7">
        <v>74070.06</v>
      </c>
      <c r="F9" s="7">
        <v>66009.6</v>
      </c>
      <c r="G9" s="7">
        <v>80723.28</v>
      </c>
      <c r="H9" s="7">
        <v>63712.54</v>
      </c>
      <c r="I9" s="7">
        <v>64514.66</v>
      </c>
      <c r="J9" s="7">
        <v>108288.69</v>
      </c>
      <c r="K9" s="7">
        <v>77878.41</v>
      </c>
      <c r="L9" s="7">
        <v>81626.52</v>
      </c>
      <c r="M9" s="7">
        <v>74555.5</v>
      </c>
      <c r="N9" s="7">
        <f t="shared" si="1"/>
        <v>887470.7</v>
      </c>
    </row>
    <row r="10" ht="15.75" customHeight="1">
      <c r="A10" s="8" t="s">
        <v>341</v>
      </c>
      <c r="B10" s="17">
        <f t="shared" ref="B10:M10" si="2">B7+B8+B9</f>
        <v>60076.89</v>
      </c>
      <c r="C10" s="17">
        <f t="shared" si="2"/>
        <v>73029.95</v>
      </c>
      <c r="D10" s="17">
        <f t="shared" si="2"/>
        <v>76871.92</v>
      </c>
      <c r="E10" s="17">
        <f t="shared" si="2"/>
        <v>79788.54</v>
      </c>
      <c r="F10" s="17">
        <f t="shared" si="2"/>
        <v>72404.6</v>
      </c>
      <c r="G10" s="17">
        <f t="shared" si="2"/>
        <v>84215.08</v>
      </c>
      <c r="H10" s="17">
        <f t="shared" si="2"/>
        <v>66861.05</v>
      </c>
      <c r="I10" s="17">
        <f t="shared" si="2"/>
        <v>71544.62</v>
      </c>
      <c r="J10" s="17">
        <f t="shared" si="2"/>
        <v>115370.13</v>
      </c>
      <c r="K10" s="17">
        <f t="shared" si="2"/>
        <v>83230.91</v>
      </c>
      <c r="L10" s="17">
        <f t="shared" si="2"/>
        <v>87670.12</v>
      </c>
      <c r="M10" s="17">
        <f t="shared" si="2"/>
        <v>77620.58</v>
      </c>
      <c r="N10" s="9">
        <f t="shared" si="1"/>
        <v>948684.39</v>
      </c>
    </row>
    <row r="11" ht="15.75" customHeight="1">
      <c r="A11" s="6" t="s">
        <v>342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4"/>
    </row>
    <row r="12" ht="15.75" customHeight="1" outlineLevel="1">
      <c r="A12" s="6" t="s">
        <v>343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15.75" customHeight="1" outlineLevel="2">
      <c r="A13" s="6" t="s">
        <v>183</v>
      </c>
      <c r="B13" s="7">
        <v>481.61</v>
      </c>
      <c r="C13" s="7">
        <v>3994.84</v>
      </c>
      <c r="D13" s="7">
        <v>7168.92</v>
      </c>
      <c r="E13" s="10"/>
      <c r="F13" s="7">
        <v>2498.88</v>
      </c>
      <c r="G13" s="7">
        <v>5806.5</v>
      </c>
      <c r="H13" s="7">
        <v>2525.66</v>
      </c>
      <c r="I13" s="7">
        <v>1598.7</v>
      </c>
      <c r="J13" s="7">
        <v>5661.24</v>
      </c>
      <c r="K13" s="7">
        <v>2601.13</v>
      </c>
      <c r="L13" s="7">
        <v>345.0</v>
      </c>
      <c r="M13" s="7">
        <v>10154.74</v>
      </c>
      <c r="N13" s="7">
        <f t="shared" ref="N13:N17" si="3">B13+C13+D13+E13+F13+G13+H13+I13+J13+K13+L13+M13</f>
        <v>42837.22</v>
      </c>
    </row>
    <row r="14" ht="15.75" customHeight="1" outlineLevel="2">
      <c r="A14" s="6" t="s">
        <v>224</v>
      </c>
      <c r="B14" s="7">
        <v>8210.12</v>
      </c>
      <c r="C14" s="7">
        <v>40058.12</v>
      </c>
      <c r="D14" s="7">
        <v>39889.06</v>
      </c>
      <c r="E14" s="7">
        <v>32649.15</v>
      </c>
      <c r="F14" s="7">
        <v>27225.14</v>
      </c>
      <c r="G14" s="7">
        <v>27823.37</v>
      </c>
      <c r="H14" s="7">
        <v>27520.44</v>
      </c>
      <c r="I14" s="7">
        <v>27874.07</v>
      </c>
      <c r="J14" s="7">
        <v>51857.25</v>
      </c>
      <c r="K14" s="7">
        <v>33631.38</v>
      </c>
      <c r="L14" s="7">
        <v>40785.35</v>
      </c>
      <c r="M14" s="7">
        <v>8988.63</v>
      </c>
      <c r="N14" s="7">
        <f t="shared" si="3"/>
        <v>366512.08</v>
      </c>
    </row>
    <row r="15" ht="15.75" customHeight="1" outlineLevel="1">
      <c r="A15" s="8" t="s">
        <v>344</v>
      </c>
      <c r="B15" s="17">
        <f t="shared" ref="B15:M15" si="4">B12+B13+B14</f>
        <v>8691.73</v>
      </c>
      <c r="C15" s="17">
        <f t="shared" si="4"/>
        <v>44052.96</v>
      </c>
      <c r="D15" s="17">
        <f t="shared" si="4"/>
        <v>47057.98</v>
      </c>
      <c r="E15" s="17">
        <f t="shared" si="4"/>
        <v>32649.15</v>
      </c>
      <c r="F15" s="17">
        <f t="shared" si="4"/>
        <v>29724.02</v>
      </c>
      <c r="G15" s="17">
        <f t="shared" si="4"/>
        <v>33629.87</v>
      </c>
      <c r="H15" s="17">
        <f t="shared" si="4"/>
        <v>30046.1</v>
      </c>
      <c r="I15" s="17">
        <f t="shared" si="4"/>
        <v>29472.77</v>
      </c>
      <c r="J15" s="17">
        <f t="shared" si="4"/>
        <v>57518.49</v>
      </c>
      <c r="K15" s="17">
        <f t="shared" si="4"/>
        <v>36232.51</v>
      </c>
      <c r="L15" s="17">
        <f t="shared" si="4"/>
        <v>41130.35</v>
      </c>
      <c r="M15" s="17">
        <f t="shared" si="4"/>
        <v>19143.37</v>
      </c>
      <c r="N15" s="9">
        <f t="shared" si="3"/>
        <v>409349.3</v>
      </c>
    </row>
    <row r="16" ht="15.75" customHeight="1">
      <c r="A16" s="8" t="s">
        <v>345</v>
      </c>
      <c r="B16" s="17">
        <f t="shared" ref="B16:M16" si="5">B15</f>
        <v>8691.73</v>
      </c>
      <c r="C16" s="17">
        <f t="shared" si="5"/>
        <v>44052.96</v>
      </c>
      <c r="D16" s="17">
        <f t="shared" si="5"/>
        <v>47057.98</v>
      </c>
      <c r="E16" s="17">
        <f t="shared" si="5"/>
        <v>32649.15</v>
      </c>
      <c r="F16" s="17">
        <f t="shared" si="5"/>
        <v>29724.02</v>
      </c>
      <c r="G16" s="17">
        <f t="shared" si="5"/>
        <v>33629.87</v>
      </c>
      <c r="H16" s="17">
        <f t="shared" si="5"/>
        <v>30046.1</v>
      </c>
      <c r="I16" s="17">
        <f t="shared" si="5"/>
        <v>29472.77</v>
      </c>
      <c r="J16" s="17">
        <f t="shared" si="5"/>
        <v>57518.49</v>
      </c>
      <c r="K16" s="17">
        <f t="shared" si="5"/>
        <v>36232.51</v>
      </c>
      <c r="L16" s="17">
        <f t="shared" si="5"/>
        <v>41130.35</v>
      </c>
      <c r="M16" s="17">
        <f t="shared" si="5"/>
        <v>19143.37</v>
      </c>
      <c r="N16" s="9">
        <f t="shared" si="3"/>
        <v>409349.3</v>
      </c>
    </row>
    <row r="17" ht="15.75" customHeight="1">
      <c r="A17" s="8" t="s">
        <v>346</v>
      </c>
      <c r="B17" s="17">
        <f t="shared" ref="B17:M17" si="6">B10-B16</f>
        <v>51385.16</v>
      </c>
      <c r="C17" s="17">
        <f t="shared" si="6"/>
        <v>28976.99</v>
      </c>
      <c r="D17" s="17">
        <f t="shared" si="6"/>
        <v>29813.94</v>
      </c>
      <c r="E17" s="17">
        <f t="shared" si="6"/>
        <v>47139.39</v>
      </c>
      <c r="F17" s="17">
        <f t="shared" si="6"/>
        <v>42680.58</v>
      </c>
      <c r="G17" s="17">
        <f t="shared" si="6"/>
        <v>50585.21</v>
      </c>
      <c r="H17" s="17">
        <f t="shared" si="6"/>
        <v>36814.95</v>
      </c>
      <c r="I17" s="17">
        <f t="shared" si="6"/>
        <v>42071.85</v>
      </c>
      <c r="J17" s="17">
        <f t="shared" si="6"/>
        <v>57851.64</v>
      </c>
      <c r="K17" s="17">
        <f t="shared" si="6"/>
        <v>46998.4</v>
      </c>
      <c r="L17" s="17">
        <f t="shared" si="6"/>
        <v>46539.77</v>
      </c>
      <c r="M17" s="17">
        <f t="shared" si="6"/>
        <v>58477.21</v>
      </c>
      <c r="N17" s="9">
        <f t="shared" si="3"/>
        <v>539335.09</v>
      </c>
    </row>
    <row r="18" ht="15.75" customHeight="1">
      <c r="A18" s="6" t="s">
        <v>347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4"/>
    </row>
    <row r="19" ht="15.75" customHeight="1" outlineLevel="1">
      <c r="A19" s="6" t="s">
        <v>218</v>
      </c>
      <c r="B19" s="7">
        <v>5425.5</v>
      </c>
      <c r="C19" s="7">
        <v>6166.42</v>
      </c>
      <c r="D19" s="7">
        <v>6854.62</v>
      </c>
      <c r="E19" s="7">
        <v>6647.55</v>
      </c>
      <c r="F19" s="7">
        <v>5675.45</v>
      </c>
      <c r="G19" s="7">
        <v>5845.09</v>
      </c>
      <c r="H19" s="7">
        <v>5451.45</v>
      </c>
      <c r="I19" s="7">
        <v>6353.43</v>
      </c>
      <c r="J19" s="7">
        <v>7602.27</v>
      </c>
      <c r="K19" s="7">
        <v>6943.33</v>
      </c>
      <c r="L19" s="7">
        <v>4552.76</v>
      </c>
      <c r="M19" s="7">
        <v>2349.72</v>
      </c>
      <c r="N19" s="7">
        <f t="shared" ref="N19:N26" si="7">B19+C19+D19+E19+F19+G19+H19+I19+J19+K19+L19+M19</f>
        <v>69867.59</v>
      </c>
    </row>
    <row r="20" ht="15.75" customHeight="1" outlineLevel="2">
      <c r="A20" s="6" t="s">
        <v>180</v>
      </c>
      <c r="B20" s="7">
        <v>414.34</v>
      </c>
      <c r="C20" s="7">
        <v>831.0</v>
      </c>
      <c r="D20" s="7">
        <v>434.05</v>
      </c>
      <c r="E20" s="7">
        <v>70.02</v>
      </c>
      <c r="F20" s="7">
        <v>478.43</v>
      </c>
      <c r="G20" s="7">
        <v>315.1</v>
      </c>
      <c r="H20" s="7">
        <v>386.71</v>
      </c>
      <c r="I20" s="7">
        <v>173.21</v>
      </c>
      <c r="J20" s="7">
        <v>343.28</v>
      </c>
      <c r="K20" s="7">
        <v>687.58</v>
      </c>
      <c r="L20" s="7">
        <v>749.17</v>
      </c>
      <c r="M20" s="7">
        <v>3284.03</v>
      </c>
      <c r="N20" s="7">
        <f t="shared" si="7"/>
        <v>8166.92</v>
      </c>
    </row>
    <row r="21" ht="15.75" customHeight="1" outlineLevel="1">
      <c r="A21" s="8" t="s">
        <v>348</v>
      </c>
      <c r="B21" s="17">
        <f t="shared" ref="B21:M21" si="8">B19+B20</f>
        <v>5839.84</v>
      </c>
      <c r="C21" s="17">
        <f t="shared" si="8"/>
        <v>6997.42</v>
      </c>
      <c r="D21" s="17">
        <f t="shared" si="8"/>
        <v>7288.67</v>
      </c>
      <c r="E21" s="17">
        <f t="shared" si="8"/>
        <v>6717.57</v>
      </c>
      <c r="F21" s="17">
        <f t="shared" si="8"/>
        <v>6153.88</v>
      </c>
      <c r="G21" s="17">
        <f t="shared" si="8"/>
        <v>6160.19</v>
      </c>
      <c r="H21" s="17">
        <f t="shared" si="8"/>
        <v>5838.16</v>
      </c>
      <c r="I21" s="17">
        <f t="shared" si="8"/>
        <v>6526.64</v>
      </c>
      <c r="J21" s="17">
        <f t="shared" si="8"/>
        <v>7945.55</v>
      </c>
      <c r="K21" s="17">
        <f t="shared" si="8"/>
        <v>7630.91</v>
      </c>
      <c r="L21" s="17">
        <f t="shared" si="8"/>
        <v>5301.93</v>
      </c>
      <c r="M21" s="17">
        <f t="shared" si="8"/>
        <v>5633.75</v>
      </c>
      <c r="N21" s="9">
        <f t="shared" si="7"/>
        <v>78034.51</v>
      </c>
    </row>
    <row r="22" ht="15.75" customHeight="1" outlineLevel="1">
      <c r="A22" s="6" t="s">
        <v>92</v>
      </c>
      <c r="B22" s="7">
        <v>7215.29</v>
      </c>
      <c r="C22" s="7">
        <v>13033.86</v>
      </c>
      <c r="D22" s="10"/>
      <c r="E22" s="7">
        <v>6516.93</v>
      </c>
      <c r="F22" s="7">
        <v>6516.93</v>
      </c>
      <c r="G22" s="7">
        <v>8656.2</v>
      </c>
      <c r="H22" s="7">
        <v>6516.93</v>
      </c>
      <c r="I22" s="7">
        <v>6516.93</v>
      </c>
      <c r="J22" s="7">
        <v>6516.93</v>
      </c>
      <c r="K22" s="7">
        <v>6516.93</v>
      </c>
      <c r="L22" s="7">
        <v>8344.45</v>
      </c>
      <c r="M22" s="7">
        <v>6516.93</v>
      </c>
      <c r="N22" s="7">
        <f t="shared" si="7"/>
        <v>82868.31</v>
      </c>
    </row>
    <row r="23" ht="15.75" customHeight="1" outlineLevel="1">
      <c r="A23" s="6" t="s">
        <v>392</v>
      </c>
      <c r="B23" s="7">
        <v>55.0</v>
      </c>
      <c r="C23" s="10"/>
      <c r="D23" s="10"/>
      <c r="E23" s="10"/>
      <c r="F23" s="10"/>
      <c r="G23" s="10"/>
      <c r="H23" s="7">
        <v>801.48</v>
      </c>
      <c r="I23" s="10"/>
      <c r="J23" s="7">
        <v>289.0</v>
      </c>
      <c r="K23" s="10"/>
      <c r="L23" s="10"/>
      <c r="M23" s="10"/>
      <c r="N23" s="7">
        <f t="shared" si="7"/>
        <v>1145.48</v>
      </c>
    </row>
    <row r="24" ht="15.75" customHeight="1" outlineLevel="1">
      <c r="A24" s="6" t="s">
        <v>150</v>
      </c>
      <c r="B24" s="7">
        <v>1500.0</v>
      </c>
      <c r="C24" s="7">
        <v>1500.0</v>
      </c>
      <c r="D24" s="7">
        <v>1500.0</v>
      </c>
      <c r="E24" s="7">
        <v>1500.0</v>
      </c>
      <c r="F24" s="7">
        <v>1500.0</v>
      </c>
      <c r="G24" s="7">
        <v>1500.0</v>
      </c>
      <c r="H24" s="7">
        <v>1500.0</v>
      </c>
      <c r="I24" s="7">
        <v>1500.0</v>
      </c>
      <c r="J24" s="7">
        <v>1500.0</v>
      </c>
      <c r="K24" s="7">
        <v>1500.0</v>
      </c>
      <c r="L24" s="7">
        <v>1500.0</v>
      </c>
      <c r="M24" s="7">
        <v>1199.0</v>
      </c>
      <c r="N24" s="7">
        <f t="shared" si="7"/>
        <v>17699</v>
      </c>
    </row>
    <row r="25" ht="15.75" customHeight="1" outlineLevel="1">
      <c r="A25" s="6" t="s">
        <v>101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7">
        <v>173.2</v>
      </c>
      <c r="N25" s="7">
        <f t="shared" si="7"/>
        <v>173.2</v>
      </c>
    </row>
    <row r="26" ht="15.75" customHeight="1" outlineLevel="1">
      <c r="A26" s="6" t="s">
        <v>119</v>
      </c>
      <c r="B26" s="7">
        <v>2827.73</v>
      </c>
      <c r="C26" s="7">
        <v>2827.73</v>
      </c>
      <c r="D26" s="7">
        <v>2827.73</v>
      </c>
      <c r="E26" s="7">
        <v>2827.73</v>
      </c>
      <c r="F26" s="7">
        <v>2827.73</v>
      </c>
      <c r="G26" s="7">
        <v>2827.73</v>
      </c>
      <c r="H26" s="7">
        <v>2827.73</v>
      </c>
      <c r="I26" s="7">
        <v>2827.73</v>
      </c>
      <c r="J26" s="7">
        <v>2827.73</v>
      </c>
      <c r="K26" s="7">
        <v>2779.7</v>
      </c>
      <c r="L26" s="7">
        <v>2875.76</v>
      </c>
      <c r="M26" s="7">
        <v>2827.73</v>
      </c>
      <c r="N26" s="7">
        <f t="shared" si="7"/>
        <v>33932.76</v>
      </c>
    </row>
    <row r="27" ht="15.75" customHeight="1" outlineLevel="1">
      <c r="A27" s="6" t="s">
        <v>349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15.75" customHeight="1" outlineLevel="2">
      <c r="A28" s="6" t="s">
        <v>284</v>
      </c>
      <c r="B28" s="10"/>
      <c r="C28" s="10"/>
      <c r="D28" s="10"/>
      <c r="E28" s="10"/>
      <c r="F28" s="10"/>
      <c r="G28" s="7">
        <v>57.63</v>
      </c>
      <c r="H28" s="7">
        <v>18.51</v>
      </c>
      <c r="I28" s="10"/>
      <c r="J28" s="7">
        <v>6.67</v>
      </c>
      <c r="K28" s="10"/>
      <c r="L28" s="10"/>
      <c r="M28" s="7">
        <v>112.12</v>
      </c>
      <c r="N28" s="7">
        <f t="shared" ref="N28:N32" si="9">B28+C28+D28+E28+F28+G28+H28+I28+J28+K28+L28+M28</f>
        <v>194.93</v>
      </c>
    </row>
    <row r="29" ht="15.75" customHeight="1" outlineLevel="2">
      <c r="A29" s="6" t="s">
        <v>278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7">
        <v>69.95</v>
      </c>
      <c r="N29" s="7">
        <f t="shared" si="9"/>
        <v>69.95</v>
      </c>
    </row>
    <row r="30" ht="15.75" customHeight="1" outlineLevel="2">
      <c r="A30" s="6" t="s">
        <v>140</v>
      </c>
      <c r="B30" s="7">
        <v>16.99</v>
      </c>
      <c r="C30" s="7">
        <v>16.99</v>
      </c>
      <c r="D30" s="7">
        <v>16.99</v>
      </c>
      <c r="E30" s="7">
        <v>16.99</v>
      </c>
      <c r="F30" s="7">
        <v>266.99</v>
      </c>
      <c r="G30" s="7">
        <v>16.99</v>
      </c>
      <c r="H30" s="7">
        <v>16.99</v>
      </c>
      <c r="I30" s="7">
        <v>659.89</v>
      </c>
      <c r="J30" s="7">
        <v>1566.81</v>
      </c>
      <c r="K30" s="7">
        <v>1170.65</v>
      </c>
      <c r="L30" s="7">
        <v>573.99</v>
      </c>
      <c r="M30" s="7">
        <v>368.99</v>
      </c>
      <c r="N30" s="7">
        <f t="shared" si="9"/>
        <v>4709.26</v>
      </c>
    </row>
    <row r="31" ht="15.75" customHeight="1" outlineLevel="1">
      <c r="A31" s="8" t="s">
        <v>350</v>
      </c>
      <c r="B31" s="17">
        <f t="shared" ref="B31:M31" si="10">B27+B28+B29+B30</f>
        <v>16.99</v>
      </c>
      <c r="C31" s="17">
        <f t="shared" si="10"/>
        <v>16.99</v>
      </c>
      <c r="D31" s="17">
        <f t="shared" si="10"/>
        <v>16.99</v>
      </c>
      <c r="E31" s="17">
        <f t="shared" si="10"/>
        <v>16.99</v>
      </c>
      <c r="F31" s="17">
        <f t="shared" si="10"/>
        <v>266.99</v>
      </c>
      <c r="G31" s="17">
        <f t="shared" si="10"/>
        <v>74.62</v>
      </c>
      <c r="H31" s="17">
        <f t="shared" si="10"/>
        <v>35.5</v>
      </c>
      <c r="I31" s="17">
        <f t="shared" si="10"/>
        <v>659.89</v>
      </c>
      <c r="J31" s="17">
        <f t="shared" si="10"/>
        <v>1573.48</v>
      </c>
      <c r="K31" s="17">
        <f t="shared" si="10"/>
        <v>1170.65</v>
      </c>
      <c r="L31" s="17">
        <f t="shared" si="10"/>
        <v>573.99</v>
      </c>
      <c r="M31" s="17">
        <f t="shared" si="10"/>
        <v>551.06</v>
      </c>
      <c r="N31" s="9">
        <f t="shared" si="9"/>
        <v>4974.14</v>
      </c>
    </row>
    <row r="32" ht="15.75" customHeight="1" outlineLevel="1">
      <c r="A32" s="6" t="s">
        <v>146</v>
      </c>
      <c r="B32" s="7">
        <v>1253.27</v>
      </c>
      <c r="C32" s="7">
        <v>97.22</v>
      </c>
      <c r="D32" s="7">
        <v>106.17</v>
      </c>
      <c r="E32" s="7">
        <v>6925.94</v>
      </c>
      <c r="F32" s="7">
        <v>107.16</v>
      </c>
      <c r="G32" s="7">
        <v>187.11</v>
      </c>
      <c r="H32" s="7">
        <v>116.35</v>
      </c>
      <c r="I32" s="7">
        <v>2403.62</v>
      </c>
      <c r="J32" s="7">
        <v>122.45</v>
      </c>
      <c r="K32" s="7">
        <v>114.68</v>
      </c>
      <c r="L32" s="7">
        <v>99.77</v>
      </c>
      <c r="M32" s="7">
        <v>61.92</v>
      </c>
      <c r="N32" s="7">
        <f t="shared" si="9"/>
        <v>11595.66</v>
      </c>
    </row>
    <row r="33" ht="15.75" customHeight="1" outlineLevel="1">
      <c r="A33" s="6" t="s">
        <v>351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15.75" customHeight="1" outlineLevel="2">
      <c r="A34" s="6" t="s">
        <v>81</v>
      </c>
      <c r="B34" s="10"/>
      <c r="C34" s="10"/>
      <c r="D34" s="7">
        <v>1000.0</v>
      </c>
      <c r="E34" s="10"/>
      <c r="F34" s="7">
        <v>1500.0</v>
      </c>
      <c r="G34" s="7">
        <v>500.0</v>
      </c>
      <c r="H34" s="7">
        <v>500.0</v>
      </c>
      <c r="I34" s="7">
        <v>500.0</v>
      </c>
      <c r="J34" s="7">
        <v>500.0</v>
      </c>
      <c r="K34" s="7">
        <v>3500.0</v>
      </c>
      <c r="L34" s="10"/>
      <c r="M34" s="7">
        <v>1180.0</v>
      </c>
      <c r="N34" s="7">
        <f t="shared" ref="N34:N42" si="12">B34+C34+D34+E34+F34+G34+H34+I34+J34+K34+L34+M34</f>
        <v>9180</v>
      </c>
    </row>
    <row r="35" ht="15.75" customHeight="1" outlineLevel="1">
      <c r="A35" s="8" t="s">
        <v>352</v>
      </c>
      <c r="B35" s="17"/>
      <c r="C35" s="17"/>
      <c r="D35" s="17">
        <f>D33+D34</f>
        <v>1000</v>
      </c>
      <c r="E35" s="17"/>
      <c r="F35" s="17">
        <f t="shared" ref="F35:K35" si="11">F33+F34</f>
        <v>1500</v>
      </c>
      <c r="G35" s="17">
        <f t="shared" si="11"/>
        <v>500</v>
      </c>
      <c r="H35" s="17">
        <f t="shared" si="11"/>
        <v>500</v>
      </c>
      <c r="I35" s="17">
        <f t="shared" si="11"/>
        <v>500</v>
      </c>
      <c r="J35" s="17">
        <f t="shared" si="11"/>
        <v>500</v>
      </c>
      <c r="K35" s="17">
        <f t="shared" si="11"/>
        <v>3500</v>
      </c>
      <c r="L35" s="17"/>
      <c r="M35" s="17">
        <f>M33+M34</f>
        <v>1180</v>
      </c>
      <c r="N35" s="9">
        <f t="shared" si="12"/>
        <v>9180</v>
      </c>
    </row>
    <row r="36" ht="15.75" customHeight="1" outlineLevel="1">
      <c r="A36" s="6" t="s">
        <v>393</v>
      </c>
      <c r="B36" s="10"/>
      <c r="C36" s="7">
        <v>129.11</v>
      </c>
      <c r="D36" s="10"/>
      <c r="E36" s="10"/>
      <c r="F36" s="10"/>
      <c r="G36" s="10"/>
      <c r="H36" s="10"/>
      <c r="I36" s="10"/>
      <c r="J36" s="7">
        <v>75.4</v>
      </c>
      <c r="K36" s="7">
        <v>16.0</v>
      </c>
      <c r="L36" s="10"/>
      <c r="M36" s="10"/>
      <c r="N36" s="7">
        <f t="shared" si="12"/>
        <v>220.51</v>
      </c>
    </row>
    <row r="37" ht="15.75" customHeight="1" outlineLevel="1">
      <c r="A37" s="6" t="s">
        <v>353</v>
      </c>
      <c r="B37" s="10"/>
      <c r="C37" s="10"/>
      <c r="D37" s="10"/>
      <c r="E37" s="10"/>
      <c r="F37" s="7">
        <v>0.0</v>
      </c>
      <c r="G37" s="10"/>
      <c r="H37" s="10"/>
      <c r="I37" s="7">
        <v>144.28</v>
      </c>
      <c r="J37" s="7">
        <v>280.18</v>
      </c>
      <c r="K37" s="10"/>
      <c r="L37" s="10"/>
      <c r="M37" s="10"/>
      <c r="N37" s="7">
        <f t="shared" si="12"/>
        <v>424.46</v>
      </c>
    </row>
    <row r="38" ht="15.75" customHeight="1" outlineLevel="2">
      <c r="A38" s="6" t="s">
        <v>106</v>
      </c>
      <c r="B38" s="7">
        <v>121.33</v>
      </c>
      <c r="C38" s="7">
        <v>128.5</v>
      </c>
      <c r="D38" s="7">
        <v>136.9</v>
      </c>
      <c r="E38" s="7">
        <v>145.5</v>
      </c>
      <c r="F38" s="7">
        <v>151.81</v>
      </c>
      <c r="G38" s="7">
        <v>159.18</v>
      </c>
      <c r="H38" s="7">
        <v>165.0</v>
      </c>
      <c r="I38" s="7">
        <v>173.52</v>
      </c>
      <c r="J38" s="7">
        <v>179.99</v>
      </c>
      <c r="K38" s="7">
        <v>184.99</v>
      </c>
      <c r="L38" s="7">
        <v>184.99</v>
      </c>
      <c r="M38" s="7">
        <v>411.76</v>
      </c>
      <c r="N38" s="7">
        <f t="shared" si="12"/>
        <v>2143.47</v>
      </c>
    </row>
    <row r="39" ht="15.75" customHeight="1" outlineLevel="2">
      <c r="A39" s="6" t="s">
        <v>300</v>
      </c>
      <c r="B39" s="7">
        <v>52.69</v>
      </c>
      <c r="C39" s="7">
        <v>2.77</v>
      </c>
      <c r="D39" s="7">
        <v>187.62</v>
      </c>
      <c r="E39" s="7">
        <v>27.16</v>
      </c>
      <c r="F39" s="10"/>
      <c r="G39" s="7">
        <v>19.38</v>
      </c>
      <c r="H39" s="7">
        <v>45.86</v>
      </c>
      <c r="I39" s="7">
        <v>97.05</v>
      </c>
      <c r="J39" s="7">
        <v>146.87</v>
      </c>
      <c r="K39" s="7">
        <v>11.41</v>
      </c>
      <c r="L39" s="7">
        <v>37.25</v>
      </c>
      <c r="M39" s="7">
        <v>11.41</v>
      </c>
      <c r="N39" s="7">
        <f t="shared" si="12"/>
        <v>639.47</v>
      </c>
    </row>
    <row r="40" ht="15.75" customHeight="1" outlineLevel="2">
      <c r="A40" s="6" t="s">
        <v>254</v>
      </c>
      <c r="B40" s="10"/>
      <c r="C40" s="10"/>
      <c r="D40" s="7">
        <v>80.82</v>
      </c>
      <c r="E40" s="10"/>
      <c r="F40" s="10"/>
      <c r="G40" s="10"/>
      <c r="H40" s="10"/>
      <c r="I40" s="10"/>
      <c r="J40" s="7">
        <v>48.48</v>
      </c>
      <c r="K40" s="7">
        <v>37.7</v>
      </c>
      <c r="L40" s="10"/>
      <c r="M40" s="7">
        <v>52.77</v>
      </c>
      <c r="N40" s="7">
        <f t="shared" si="12"/>
        <v>219.77</v>
      </c>
    </row>
    <row r="41" ht="15.75" customHeight="1" outlineLevel="2">
      <c r="A41" s="6" t="s">
        <v>95</v>
      </c>
      <c r="B41" s="7">
        <v>322.95</v>
      </c>
      <c r="C41" s="7">
        <v>171.28</v>
      </c>
      <c r="D41" s="7">
        <v>137.98</v>
      </c>
      <c r="E41" s="7">
        <v>414.48</v>
      </c>
      <c r="F41" s="7">
        <v>267.56</v>
      </c>
      <c r="G41" s="7">
        <v>262.8</v>
      </c>
      <c r="H41" s="7">
        <v>661.96</v>
      </c>
      <c r="I41" s="7">
        <v>427.14</v>
      </c>
      <c r="J41" s="7">
        <v>299.71</v>
      </c>
      <c r="K41" s="7">
        <v>253.69</v>
      </c>
      <c r="L41" s="7">
        <v>128.15</v>
      </c>
      <c r="M41" s="7">
        <v>480.29</v>
      </c>
      <c r="N41" s="7">
        <f t="shared" si="12"/>
        <v>3827.99</v>
      </c>
    </row>
    <row r="42" ht="15.75" customHeight="1" outlineLevel="1">
      <c r="A42" s="8" t="s">
        <v>354</v>
      </c>
      <c r="B42" s="17">
        <f t="shared" ref="B42:M42" si="13">B37+B38+B39+B40+B41</f>
        <v>496.97</v>
      </c>
      <c r="C42" s="17">
        <f t="shared" si="13"/>
        <v>302.55</v>
      </c>
      <c r="D42" s="17">
        <f t="shared" si="13"/>
        <v>543.32</v>
      </c>
      <c r="E42" s="17">
        <f t="shared" si="13"/>
        <v>587.14</v>
      </c>
      <c r="F42" s="17">
        <f t="shared" si="13"/>
        <v>419.37</v>
      </c>
      <c r="G42" s="17">
        <f t="shared" si="13"/>
        <v>441.36</v>
      </c>
      <c r="H42" s="17">
        <f t="shared" si="13"/>
        <v>872.82</v>
      </c>
      <c r="I42" s="17">
        <f t="shared" si="13"/>
        <v>841.99</v>
      </c>
      <c r="J42" s="17">
        <f t="shared" si="13"/>
        <v>955.23</v>
      </c>
      <c r="K42" s="17">
        <f t="shared" si="13"/>
        <v>487.79</v>
      </c>
      <c r="L42" s="17">
        <f t="shared" si="13"/>
        <v>350.39</v>
      </c>
      <c r="M42" s="17">
        <f t="shared" si="13"/>
        <v>956.23</v>
      </c>
      <c r="N42" s="9">
        <f t="shared" si="12"/>
        <v>7255.16</v>
      </c>
    </row>
    <row r="43" ht="15.75" customHeight="1" outlineLevel="1">
      <c r="A43" s="6" t="s">
        <v>355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15.75" customHeight="1" outlineLevel="2">
      <c r="A44" s="6" t="s">
        <v>356</v>
      </c>
      <c r="B44" s="7">
        <v>1107.06</v>
      </c>
      <c r="C44" s="7">
        <v>1296.57</v>
      </c>
      <c r="D44" s="7">
        <v>1115.93</v>
      </c>
      <c r="E44" s="7">
        <v>895.18</v>
      </c>
      <c r="F44" s="7">
        <v>1059.52</v>
      </c>
      <c r="G44" s="7">
        <v>1250.85</v>
      </c>
      <c r="H44" s="7">
        <v>1136.09</v>
      </c>
      <c r="I44" s="7">
        <v>1853.5</v>
      </c>
      <c r="J44" s="7">
        <v>1156.63</v>
      </c>
      <c r="K44" s="7">
        <v>1049.45</v>
      </c>
      <c r="L44" s="7">
        <v>6562.17</v>
      </c>
      <c r="M44" s="7">
        <v>3750.13</v>
      </c>
      <c r="N44" s="7">
        <f t="shared" ref="N44:N59" si="14">B44+C44+D44+E44+F44+G44+H44+I44+J44+K44+L44+M44</f>
        <v>22233.08</v>
      </c>
    </row>
    <row r="45" ht="15.75" customHeight="1" outlineLevel="2">
      <c r="A45" s="6" t="s">
        <v>112</v>
      </c>
      <c r="B45" s="7">
        <v>10165.9</v>
      </c>
      <c r="C45" s="7">
        <v>12171.21</v>
      </c>
      <c r="D45" s="7">
        <v>12220.25</v>
      </c>
      <c r="E45" s="7">
        <v>11445.94</v>
      </c>
      <c r="F45" s="7">
        <v>13368.98</v>
      </c>
      <c r="G45" s="7">
        <v>15116.43</v>
      </c>
      <c r="H45" s="7">
        <v>13769.6</v>
      </c>
      <c r="I45" s="7">
        <v>23123.45</v>
      </c>
      <c r="J45" s="7">
        <v>15119.12</v>
      </c>
      <c r="K45" s="7">
        <v>13718.38</v>
      </c>
      <c r="L45" s="7">
        <v>13517.59</v>
      </c>
      <c r="M45" s="7">
        <v>13960.55</v>
      </c>
      <c r="N45" s="7">
        <f t="shared" si="14"/>
        <v>167697.4</v>
      </c>
    </row>
    <row r="46" ht="15.75" customHeight="1" outlineLevel="1">
      <c r="A46" s="8" t="s">
        <v>357</v>
      </c>
      <c r="B46" s="17">
        <f t="shared" ref="B46:M46" si="15">B43+B44+B45</f>
        <v>11272.96</v>
      </c>
      <c r="C46" s="17">
        <f t="shared" si="15"/>
        <v>13467.78</v>
      </c>
      <c r="D46" s="17">
        <f t="shared" si="15"/>
        <v>13336.18</v>
      </c>
      <c r="E46" s="17">
        <f t="shared" si="15"/>
        <v>12341.12</v>
      </c>
      <c r="F46" s="17">
        <f t="shared" si="15"/>
        <v>14428.5</v>
      </c>
      <c r="G46" s="17">
        <f t="shared" si="15"/>
        <v>16367.28</v>
      </c>
      <c r="H46" s="17">
        <f t="shared" si="15"/>
        <v>14905.69</v>
      </c>
      <c r="I46" s="17">
        <f t="shared" si="15"/>
        <v>24976.95</v>
      </c>
      <c r="J46" s="17">
        <f t="shared" si="15"/>
        <v>16275.75</v>
      </c>
      <c r="K46" s="17">
        <f t="shared" si="15"/>
        <v>14767.83</v>
      </c>
      <c r="L46" s="17">
        <f t="shared" si="15"/>
        <v>20079.76</v>
      </c>
      <c r="M46" s="17">
        <f t="shared" si="15"/>
        <v>17710.68</v>
      </c>
      <c r="N46" s="9">
        <f t="shared" si="14"/>
        <v>189930.48</v>
      </c>
    </row>
    <row r="47" ht="15.75" customHeight="1" outlineLevel="1">
      <c r="A47" s="6" t="s">
        <v>282</v>
      </c>
      <c r="B47" s="10"/>
      <c r="C47" s="10"/>
      <c r="D47" s="7">
        <v>323.5</v>
      </c>
      <c r="E47" s="10"/>
      <c r="F47" s="10"/>
      <c r="G47" s="7">
        <v>1152.58</v>
      </c>
      <c r="H47" s="10"/>
      <c r="I47" s="10"/>
      <c r="J47" s="10"/>
      <c r="K47" s="10"/>
      <c r="L47" s="10"/>
      <c r="M47" s="7">
        <v>2242.48</v>
      </c>
      <c r="N47" s="7">
        <f t="shared" si="14"/>
        <v>3718.56</v>
      </c>
    </row>
    <row r="48" ht="15.75" customHeight="1" outlineLevel="1">
      <c r="A48" s="6" t="s">
        <v>358</v>
      </c>
      <c r="B48" s="10"/>
      <c r="C48" s="10"/>
      <c r="D48" s="10"/>
      <c r="E48" s="7">
        <v>64.0</v>
      </c>
      <c r="F48" s="10"/>
      <c r="G48" s="10"/>
      <c r="H48" s="10"/>
      <c r="I48" s="10"/>
      <c r="J48" s="10"/>
      <c r="K48" s="7">
        <v>90.0</v>
      </c>
      <c r="L48" s="10"/>
      <c r="M48" s="10"/>
      <c r="N48" s="7">
        <f t="shared" si="14"/>
        <v>154</v>
      </c>
    </row>
    <row r="49" ht="15.75" customHeight="1" outlineLevel="2">
      <c r="A49" s="6" t="s">
        <v>221</v>
      </c>
      <c r="B49" s="10"/>
      <c r="C49" s="10"/>
      <c r="D49" s="10"/>
      <c r="E49" s="7">
        <v>35.0</v>
      </c>
      <c r="F49" s="10"/>
      <c r="G49" s="10"/>
      <c r="H49" s="7">
        <v>598.0</v>
      </c>
      <c r="I49" s="10"/>
      <c r="J49" s="7">
        <v>3872.91</v>
      </c>
      <c r="K49" s="7">
        <v>145.0</v>
      </c>
      <c r="L49" s="10"/>
      <c r="M49" s="7">
        <v>505.0</v>
      </c>
      <c r="N49" s="7">
        <f t="shared" si="14"/>
        <v>5155.91</v>
      </c>
    </row>
    <row r="50" ht="15.75" customHeight="1" outlineLevel="2">
      <c r="A50" s="6" t="s">
        <v>394</v>
      </c>
      <c r="B50" s="10"/>
      <c r="C50" s="10"/>
      <c r="D50" s="10"/>
      <c r="E50" s="7">
        <v>803.85</v>
      </c>
      <c r="F50" s="10"/>
      <c r="G50" s="7">
        <v>146.91</v>
      </c>
      <c r="H50" s="10"/>
      <c r="I50" s="10"/>
      <c r="J50" s="10"/>
      <c r="K50" s="10"/>
      <c r="L50" s="10"/>
      <c r="M50" s="10"/>
      <c r="N50" s="7">
        <f t="shared" si="14"/>
        <v>950.76</v>
      </c>
    </row>
    <row r="51" ht="15.75" customHeight="1" outlineLevel="1">
      <c r="A51" s="8" t="s">
        <v>359</v>
      </c>
      <c r="B51" s="17"/>
      <c r="C51" s="17"/>
      <c r="D51" s="17"/>
      <c r="E51" s="17">
        <f>E48+E49+E50</f>
        <v>902.85</v>
      </c>
      <c r="F51" s="17"/>
      <c r="G51" s="17">
        <f t="shared" ref="G51:H51" si="16">G48+G49+G50</f>
        <v>146.91</v>
      </c>
      <c r="H51" s="17">
        <f t="shared" si="16"/>
        <v>598</v>
      </c>
      <c r="I51" s="17"/>
      <c r="J51" s="17">
        <f t="shared" ref="J51:K51" si="17">J48+J49+J50</f>
        <v>3872.91</v>
      </c>
      <c r="K51" s="17">
        <f t="shared" si="17"/>
        <v>235</v>
      </c>
      <c r="L51" s="17"/>
      <c r="M51" s="17">
        <f>M48+M49+M50</f>
        <v>505</v>
      </c>
      <c r="N51" s="9">
        <f t="shared" si="14"/>
        <v>6260.67</v>
      </c>
    </row>
    <row r="52" ht="15.75" customHeight="1" outlineLevel="1">
      <c r="A52" s="6" t="s">
        <v>395</v>
      </c>
      <c r="B52" s="10"/>
      <c r="C52" s="10"/>
      <c r="D52" s="10"/>
      <c r="E52" s="7">
        <v>2786.0</v>
      </c>
      <c r="F52" s="10"/>
      <c r="G52" s="10"/>
      <c r="H52" s="7">
        <v>-2786.0</v>
      </c>
      <c r="I52" s="10"/>
      <c r="J52" s="10"/>
      <c r="K52" s="10"/>
      <c r="L52" s="10"/>
      <c r="M52" s="10"/>
      <c r="N52" s="7">
        <f t="shared" si="14"/>
        <v>0</v>
      </c>
    </row>
    <row r="53" ht="15.75" customHeight="1" outlineLevel="1">
      <c r="A53" s="6" t="s">
        <v>136</v>
      </c>
      <c r="B53" s="7">
        <v>185.36</v>
      </c>
      <c r="C53" s="7">
        <v>233.18</v>
      </c>
      <c r="D53" s="7">
        <v>205.14</v>
      </c>
      <c r="E53" s="7">
        <v>211.39</v>
      </c>
      <c r="F53" s="7">
        <v>232.88</v>
      </c>
      <c r="G53" s="7">
        <v>267.53</v>
      </c>
      <c r="H53" s="7">
        <v>346.07</v>
      </c>
      <c r="I53" s="7">
        <v>380.15</v>
      </c>
      <c r="J53" s="7">
        <v>313.61</v>
      </c>
      <c r="K53" s="7">
        <v>313.38</v>
      </c>
      <c r="L53" s="7">
        <v>237.55</v>
      </c>
      <c r="M53" s="7">
        <v>227.97</v>
      </c>
      <c r="N53" s="7">
        <f t="shared" si="14"/>
        <v>3154.21</v>
      </c>
    </row>
    <row r="54" ht="15.75" customHeight="1" outlineLevel="2">
      <c r="A54" s="6" t="s">
        <v>396</v>
      </c>
      <c r="B54" s="10"/>
      <c r="C54" s="10"/>
      <c r="D54" s="10"/>
      <c r="E54" s="10"/>
      <c r="F54" s="10"/>
      <c r="G54" s="7">
        <v>137.0</v>
      </c>
      <c r="H54" s="7">
        <v>39.96</v>
      </c>
      <c r="I54" s="10"/>
      <c r="J54" s="10"/>
      <c r="K54" s="10"/>
      <c r="L54" s="10"/>
      <c r="M54" s="10"/>
      <c r="N54" s="7">
        <f t="shared" si="14"/>
        <v>176.96</v>
      </c>
    </row>
    <row r="55" ht="15.75" customHeight="1" outlineLevel="2">
      <c r="A55" s="6" t="s">
        <v>228</v>
      </c>
      <c r="B55" s="7">
        <v>257.18</v>
      </c>
      <c r="C55" s="7">
        <v>263.75</v>
      </c>
      <c r="D55" s="7">
        <v>342.03</v>
      </c>
      <c r="E55" s="7">
        <v>319.44</v>
      </c>
      <c r="F55" s="7">
        <v>319.26</v>
      </c>
      <c r="G55" s="7">
        <v>319.26</v>
      </c>
      <c r="H55" s="7">
        <v>343.67</v>
      </c>
      <c r="I55" s="7">
        <v>270.58</v>
      </c>
      <c r="J55" s="7">
        <v>270.73</v>
      </c>
      <c r="K55" s="7">
        <v>518.15</v>
      </c>
      <c r="L55" s="7">
        <v>271.29</v>
      </c>
      <c r="M55" s="7">
        <v>271.29</v>
      </c>
      <c r="N55" s="7">
        <f t="shared" si="14"/>
        <v>3766.63</v>
      </c>
    </row>
    <row r="56" ht="15.75" customHeight="1" outlineLevel="2">
      <c r="A56" s="6" t="s">
        <v>257</v>
      </c>
      <c r="B56" s="7">
        <v>86.94</v>
      </c>
      <c r="C56" s="7">
        <v>107.75</v>
      </c>
      <c r="D56" s="7">
        <v>119.18</v>
      </c>
      <c r="E56" s="7">
        <v>102.46</v>
      </c>
      <c r="F56" s="7">
        <v>87.15</v>
      </c>
      <c r="G56" s="7">
        <v>81.83</v>
      </c>
      <c r="H56" s="7">
        <v>81.17</v>
      </c>
      <c r="I56" s="7">
        <v>81.17</v>
      </c>
      <c r="J56" s="7">
        <v>82.25</v>
      </c>
      <c r="K56" s="7">
        <v>77.12</v>
      </c>
      <c r="L56" s="7">
        <v>77.1</v>
      </c>
      <c r="M56" s="7">
        <v>92.23</v>
      </c>
      <c r="N56" s="7">
        <f t="shared" si="14"/>
        <v>1076.35</v>
      </c>
    </row>
    <row r="57" ht="15.75" customHeight="1" outlineLevel="1">
      <c r="A57" s="8" t="s">
        <v>360</v>
      </c>
      <c r="B57" s="17">
        <f t="shared" ref="B57:M57" si="18">B53+B54+B55+B56</f>
        <v>529.48</v>
      </c>
      <c r="C57" s="17">
        <f t="shared" si="18"/>
        <v>604.68</v>
      </c>
      <c r="D57" s="17">
        <f t="shared" si="18"/>
        <v>666.35</v>
      </c>
      <c r="E57" s="17">
        <f t="shared" si="18"/>
        <v>633.29</v>
      </c>
      <c r="F57" s="17">
        <f t="shared" si="18"/>
        <v>639.29</v>
      </c>
      <c r="G57" s="17">
        <f t="shared" si="18"/>
        <v>805.62</v>
      </c>
      <c r="H57" s="17">
        <f t="shared" si="18"/>
        <v>810.87</v>
      </c>
      <c r="I57" s="17">
        <f t="shared" si="18"/>
        <v>731.9</v>
      </c>
      <c r="J57" s="17">
        <f t="shared" si="18"/>
        <v>666.59</v>
      </c>
      <c r="K57" s="17">
        <f t="shared" si="18"/>
        <v>908.65</v>
      </c>
      <c r="L57" s="17">
        <f t="shared" si="18"/>
        <v>585.94</v>
      </c>
      <c r="M57" s="17">
        <f t="shared" si="18"/>
        <v>591.49</v>
      </c>
      <c r="N57" s="9">
        <f t="shared" si="14"/>
        <v>8174.15</v>
      </c>
    </row>
    <row r="58" ht="15.75" customHeight="1">
      <c r="A58" s="8" t="s">
        <v>361</v>
      </c>
      <c r="B58" s="17">
        <f t="shared" ref="B58:M58" si="19">B21+B22+B23+B24+B25+B26+B31+B32+B35+B36+B42+B46+B47+B51+B52+B57</f>
        <v>31007.53</v>
      </c>
      <c r="C58" s="17">
        <f t="shared" si="19"/>
        <v>38977.34</v>
      </c>
      <c r="D58" s="17">
        <f t="shared" si="19"/>
        <v>27608.91</v>
      </c>
      <c r="E58" s="17">
        <f t="shared" si="19"/>
        <v>41755.56</v>
      </c>
      <c r="F58" s="17">
        <f t="shared" si="19"/>
        <v>34359.85</v>
      </c>
      <c r="G58" s="17">
        <f t="shared" si="19"/>
        <v>38819.6</v>
      </c>
      <c r="H58" s="17">
        <f t="shared" si="19"/>
        <v>32537.53</v>
      </c>
      <c r="I58" s="17">
        <f t="shared" si="19"/>
        <v>47485.65</v>
      </c>
      <c r="J58" s="17">
        <f t="shared" si="19"/>
        <v>43121.02</v>
      </c>
      <c r="K58" s="17">
        <f t="shared" si="19"/>
        <v>39628.14</v>
      </c>
      <c r="L58" s="17">
        <f t="shared" si="19"/>
        <v>39711.99</v>
      </c>
      <c r="M58" s="17">
        <f t="shared" si="19"/>
        <v>40149.47</v>
      </c>
      <c r="N58" s="9">
        <f t="shared" si="14"/>
        <v>455162.59</v>
      </c>
    </row>
    <row r="59" ht="15.75" customHeight="1">
      <c r="A59" s="8" t="s">
        <v>362</v>
      </c>
      <c r="B59" s="17">
        <f t="shared" ref="B59:M59" si="20">B17-B58</f>
        <v>20377.63</v>
      </c>
      <c r="C59" s="17">
        <f t="shared" si="20"/>
        <v>-10000.35</v>
      </c>
      <c r="D59" s="17">
        <f t="shared" si="20"/>
        <v>2205.03</v>
      </c>
      <c r="E59" s="17">
        <f t="shared" si="20"/>
        <v>5383.83</v>
      </c>
      <c r="F59" s="17">
        <f t="shared" si="20"/>
        <v>8320.73</v>
      </c>
      <c r="G59" s="17">
        <f t="shared" si="20"/>
        <v>11765.61</v>
      </c>
      <c r="H59" s="17">
        <f t="shared" si="20"/>
        <v>4277.42</v>
      </c>
      <c r="I59" s="17">
        <f t="shared" si="20"/>
        <v>-5413.8</v>
      </c>
      <c r="J59" s="17">
        <f t="shared" si="20"/>
        <v>14730.62</v>
      </c>
      <c r="K59" s="17">
        <f t="shared" si="20"/>
        <v>7370.26</v>
      </c>
      <c r="L59" s="17">
        <f t="shared" si="20"/>
        <v>6827.78</v>
      </c>
      <c r="M59" s="17">
        <f t="shared" si="20"/>
        <v>18327.74</v>
      </c>
      <c r="N59" s="9">
        <f t="shared" si="14"/>
        <v>84172.5</v>
      </c>
    </row>
    <row r="60" ht="15.75" customHeight="1">
      <c r="A60" s="6" t="s">
        <v>363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4"/>
    </row>
    <row r="61" ht="15.75" customHeight="1" outlineLevel="1">
      <c r="A61" s="6" t="s">
        <v>364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ht="15.75" customHeight="1" outlineLevel="2">
      <c r="A62" s="6" t="s">
        <v>202</v>
      </c>
      <c r="B62" s="7">
        <v>157.97</v>
      </c>
      <c r="C62" s="7">
        <v>91.4</v>
      </c>
      <c r="D62" s="7">
        <v>127.97</v>
      </c>
      <c r="E62" s="7">
        <v>360.07</v>
      </c>
      <c r="F62" s="7">
        <v>317.17</v>
      </c>
      <c r="G62" s="10"/>
      <c r="H62" s="7">
        <v>279.58</v>
      </c>
      <c r="I62" s="7">
        <v>8.52</v>
      </c>
      <c r="J62" s="7">
        <v>99.99</v>
      </c>
      <c r="K62" s="7">
        <v>83.23</v>
      </c>
      <c r="L62" s="7">
        <v>64.48</v>
      </c>
      <c r="M62" s="7">
        <v>70.47</v>
      </c>
      <c r="N62" s="7">
        <f t="shared" ref="N62:N66" si="21">B62+C62+D62+E62+F62+G62+H62+I62+J62+K62+L62+M62</f>
        <v>1660.85</v>
      </c>
    </row>
    <row r="63" ht="15.75" customHeight="1" outlineLevel="2">
      <c r="A63" s="6" t="s">
        <v>296</v>
      </c>
      <c r="B63" s="7">
        <v>525.0</v>
      </c>
      <c r="C63" s="7">
        <v>726.93</v>
      </c>
      <c r="D63" s="7">
        <v>715.01</v>
      </c>
      <c r="E63" s="7">
        <v>333.25</v>
      </c>
      <c r="F63" s="7">
        <v>670.5</v>
      </c>
      <c r="G63" s="7">
        <v>217.25</v>
      </c>
      <c r="H63" s="7">
        <v>369.79</v>
      </c>
      <c r="I63" s="7">
        <v>672.33</v>
      </c>
      <c r="J63" s="7">
        <v>837.28</v>
      </c>
      <c r="K63" s="7">
        <v>643.48</v>
      </c>
      <c r="L63" s="7">
        <v>582.69</v>
      </c>
      <c r="M63" s="7">
        <v>909.5</v>
      </c>
      <c r="N63" s="7">
        <f t="shared" si="21"/>
        <v>7203.01</v>
      </c>
    </row>
    <row r="64" ht="15.75" customHeight="1" outlineLevel="2">
      <c r="A64" s="6" t="s">
        <v>153</v>
      </c>
      <c r="B64" s="7">
        <v>27.47</v>
      </c>
      <c r="C64" s="7">
        <v>19.08</v>
      </c>
      <c r="D64" s="7">
        <v>18.77</v>
      </c>
      <c r="E64" s="7">
        <v>27.68</v>
      </c>
      <c r="F64" s="7">
        <v>21.54</v>
      </c>
      <c r="G64" s="7">
        <v>24.11</v>
      </c>
      <c r="H64" s="7">
        <v>29.56</v>
      </c>
      <c r="I64" s="7">
        <v>26.0</v>
      </c>
      <c r="J64" s="7">
        <v>43.52</v>
      </c>
      <c r="K64" s="7">
        <v>44.03</v>
      </c>
      <c r="L64" s="7">
        <v>39.82</v>
      </c>
      <c r="M64" s="7">
        <v>41.84</v>
      </c>
      <c r="N64" s="7">
        <f t="shared" si="21"/>
        <v>363.42</v>
      </c>
    </row>
    <row r="65" ht="15.75" customHeight="1" outlineLevel="1">
      <c r="A65" s="8" t="s">
        <v>365</v>
      </c>
      <c r="B65" s="17">
        <f t="shared" ref="B65:M65" si="22">B61+B62+B63+B64</f>
        <v>710.44</v>
      </c>
      <c r="C65" s="17">
        <f t="shared" si="22"/>
        <v>837.41</v>
      </c>
      <c r="D65" s="17">
        <f t="shared" si="22"/>
        <v>861.75</v>
      </c>
      <c r="E65" s="17">
        <f t="shared" si="22"/>
        <v>721</v>
      </c>
      <c r="F65" s="17">
        <f t="shared" si="22"/>
        <v>1009.21</v>
      </c>
      <c r="G65" s="17">
        <f t="shared" si="22"/>
        <v>241.36</v>
      </c>
      <c r="H65" s="17">
        <f t="shared" si="22"/>
        <v>678.93</v>
      </c>
      <c r="I65" s="17">
        <f t="shared" si="22"/>
        <v>706.85</v>
      </c>
      <c r="J65" s="17">
        <f t="shared" si="22"/>
        <v>980.79</v>
      </c>
      <c r="K65" s="17">
        <f t="shared" si="22"/>
        <v>770.74</v>
      </c>
      <c r="L65" s="17">
        <f t="shared" si="22"/>
        <v>686.99</v>
      </c>
      <c r="M65" s="17">
        <f t="shared" si="22"/>
        <v>1021.81</v>
      </c>
      <c r="N65" s="9">
        <f t="shared" si="21"/>
        <v>9227.28</v>
      </c>
    </row>
    <row r="66" ht="15.75" customHeight="1">
      <c r="A66" s="8" t="s">
        <v>366</v>
      </c>
      <c r="B66" s="17">
        <f t="shared" ref="B66:M66" si="23">B65</f>
        <v>710.44</v>
      </c>
      <c r="C66" s="17">
        <f t="shared" si="23"/>
        <v>837.41</v>
      </c>
      <c r="D66" s="17">
        <f t="shared" si="23"/>
        <v>861.75</v>
      </c>
      <c r="E66" s="17">
        <f t="shared" si="23"/>
        <v>721</v>
      </c>
      <c r="F66" s="17">
        <f t="shared" si="23"/>
        <v>1009.21</v>
      </c>
      <c r="G66" s="17">
        <f t="shared" si="23"/>
        <v>241.36</v>
      </c>
      <c r="H66" s="17">
        <f t="shared" si="23"/>
        <v>678.93</v>
      </c>
      <c r="I66" s="17">
        <f t="shared" si="23"/>
        <v>706.85</v>
      </c>
      <c r="J66" s="17">
        <f t="shared" si="23"/>
        <v>980.79</v>
      </c>
      <c r="K66" s="17">
        <f t="shared" si="23"/>
        <v>770.74</v>
      </c>
      <c r="L66" s="17">
        <f t="shared" si="23"/>
        <v>686.99</v>
      </c>
      <c r="M66" s="17">
        <f t="shared" si="23"/>
        <v>1021.81</v>
      </c>
      <c r="N66" s="9">
        <f t="shared" si="21"/>
        <v>9227.28</v>
      </c>
    </row>
    <row r="67" ht="15.75" customHeight="1">
      <c r="A67" s="6" t="s">
        <v>367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4"/>
    </row>
    <row r="68" ht="15.75" customHeight="1" outlineLevel="1">
      <c r="A68" s="6" t="s">
        <v>368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7">
        <v>25263.16</v>
      </c>
      <c r="N68" s="7">
        <f t="shared" ref="N68:N73" si="24">B68+C68+D68+E68+F68+G68+H68+I68+J68+K68+L68+M68</f>
        <v>25263.16</v>
      </c>
    </row>
    <row r="69" ht="15.75" customHeight="1" outlineLevel="1">
      <c r="A69" s="6" t="s">
        <v>369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7">
        <v>16864.42</v>
      </c>
      <c r="N69" s="7">
        <f t="shared" si="24"/>
        <v>16864.42</v>
      </c>
    </row>
    <row r="70" ht="15.75" customHeight="1" outlineLevel="1">
      <c r="A70" s="6" t="s">
        <v>397</v>
      </c>
      <c r="B70" s="10"/>
      <c r="C70" s="10"/>
      <c r="D70" s="10"/>
      <c r="E70" s="10"/>
      <c r="F70" s="10"/>
      <c r="G70" s="10"/>
      <c r="H70" s="10"/>
      <c r="I70" s="10"/>
      <c r="J70" s="7">
        <v>12.0</v>
      </c>
      <c r="K70" s="10"/>
      <c r="L70" s="10"/>
      <c r="M70" s="10"/>
      <c r="N70" s="7">
        <f t="shared" si="24"/>
        <v>12</v>
      </c>
    </row>
    <row r="71" ht="15.75" customHeight="1">
      <c r="A71" s="8" t="s">
        <v>370</v>
      </c>
      <c r="B71" s="17"/>
      <c r="C71" s="17"/>
      <c r="D71" s="17"/>
      <c r="E71" s="17"/>
      <c r="F71" s="17"/>
      <c r="G71" s="17"/>
      <c r="H71" s="17"/>
      <c r="I71" s="17"/>
      <c r="J71" s="17">
        <f>J68+J69+J70</f>
        <v>12</v>
      </c>
      <c r="K71" s="17"/>
      <c r="L71" s="17"/>
      <c r="M71" s="17">
        <f>M68+M69+M70</f>
        <v>42127.58</v>
      </c>
      <c r="N71" s="9">
        <f t="shared" si="24"/>
        <v>42139.58</v>
      </c>
    </row>
    <row r="72" ht="15.75" customHeight="1">
      <c r="A72" s="8" t="s">
        <v>371</v>
      </c>
      <c r="B72" s="17">
        <f t="shared" ref="B72:M72" si="25">B66-B71</f>
        <v>710.44</v>
      </c>
      <c r="C72" s="17">
        <f t="shared" si="25"/>
        <v>837.41</v>
      </c>
      <c r="D72" s="17">
        <f t="shared" si="25"/>
        <v>861.75</v>
      </c>
      <c r="E72" s="17">
        <f t="shared" si="25"/>
        <v>721</v>
      </c>
      <c r="F72" s="17">
        <f t="shared" si="25"/>
        <v>1009.21</v>
      </c>
      <c r="G72" s="17">
        <f t="shared" si="25"/>
        <v>241.36</v>
      </c>
      <c r="H72" s="17">
        <f t="shared" si="25"/>
        <v>678.93</v>
      </c>
      <c r="I72" s="17">
        <f t="shared" si="25"/>
        <v>706.85</v>
      </c>
      <c r="J72" s="17">
        <f t="shared" si="25"/>
        <v>968.79</v>
      </c>
      <c r="K72" s="17">
        <f t="shared" si="25"/>
        <v>770.74</v>
      </c>
      <c r="L72" s="17">
        <f t="shared" si="25"/>
        <v>686.99</v>
      </c>
      <c r="M72" s="17">
        <f t="shared" si="25"/>
        <v>-41105.77</v>
      </c>
      <c r="N72" s="9">
        <f t="shared" si="24"/>
        <v>-32912.3</v>
      </c>
    </row>
    <row r="73" ht="15.75" customHeight="1">
      <c r="A73" s="8" t="s">
        <v>56</v>
      </c>
      <c r="B73" s="17">
        <f t="shared" ref="B73:M73" si="26">B59+B72</f>
        <v>21088.07</v>
      </c>
      <c r="C73" s="17">
        <f t="shared" si="26"/>
        <v>-9162.94</v>
      </c>
      <c r="D73" s="17">
        <f t="shared" si="26"/>
        <v>3066.78</v>
      </c>
      <c r="E73" s="17">
        <f t="shared" si="26"/>
        <v>6104.83</v>
      </c>
      <c r="F73" s="17">
        <f t="shared" si="26"/>
        <v>9329.94</v>
      </c>
      <c r="G73" s="17">
        <f t="shared" si="26"/>
        <v>12006.97</v>
      </c>
      <c r="H73" s="17">
        <f t="shared" si="26"/>
        <v>4956.35</v>
      </c>
      <c r="I73" s="17">
        <f t="shared" si="26"/>
        <v>-4706.95</v>
      </c>
      <c r="J73" s="17">
        <f t="shared" si="26"/>
        <v>15699.41</v>
      </c>
      <c r="K73" s="17">
        <f t="shared" si="26"/>
        <v>8141</v>
      </c>
      <c r="L73" s="17">
        <f t="shared" si="26"/>
        <v>7514.77</v>
      </c>
      <c r="M73" s="17">
        <f t="shared" si="26"/>
        <v>-22778.03</v>
      </c>
      <c r="N73" s="9">
        <f t="shared" si="24"/>
        <v>51260.2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11" t="s">
        <v>389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4">
    <mergeCell ref="A1:N1"/>
    <mergeCell ref="A2:N2"/>
    <mergeCell ref="A3:N3"/>
    <mergeCell ref="A77:N7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1.22" defaultRowHeight="15.0" outlineLevelRow="2"/>
  <cols>
    <col customWidth="1" min="1" max="1" width="34.11"/>
    <col customWidth="1" min="2" max="2" width="17.0"/>
    <col customWidth="1" min="3" max="3" width="11.0"/>
    <col customWidth="1" min="4" max="4" width="10.11"/>
    <col customWidth="1" min="5" max="6" width="11.22"/>
  </cols>
  <sheetData>
    <row r="1" ht="15.75" customHeight="1">
      <c r="A1" s="1" t="s">
        <v>335</v>
      </c>
    </row>
    <row r="2" ht="15.75" customHeight="1">
      <c r="A2" s="2" t="s">
        <v>1</v>
      </c>
    </row>
    <row r="3" ht="15.75" customHeight="1">
      <c r="A3" s="3" t="s">
        <v>391</v>
      </c>
    </row>
    <row r="4" ht="15.75" customHeight="1">
      <c r="A4" s="4"/>
      <c r="B4" s="4"/>
      <c r="C4" s="4"/>
      <c r="D4" s="4"/>
    </row>
    <row r="5" ht="15.75" customHeight="1">
      <c r="A5" s="5" t="s">
        <v>3</v>
      </c>
      <c r="B5" s="5" t="s">
        <v>4</v>
      </c>
      <c r="C5" s="18"/>
      <c r="D5" s="18"/>
    </row>
    <row r="6" ht="15.75" customHeight="1">
      <c r="A6" s="4"/>
      <c r="B6" s="19" t="s">
        <v>398</v>
      </c>
      <c r="C6" s="5" t="s">
        <v>337</v>
      </c>
      <c r="D6" s="5" t="s">
        <v>338</v>
      </c>
    </row>
    <row r="7" ht="15.75" customHeight="1">
      <c r="A7" s="6" t="s">
        <v>339</v>
      </c>
      <c r="B7" s="4"/>
      <c r="C7" s="4"/>
      <c r="D7" s="4"/>
    </row>
    <row r="8" ht="15.75" customHeight="1" outlineLevel="1">
      <c r="A8" s="6" t="s">
        <v>85</v>
      </c>
      <c r="B8" s="7">
        <v>16147.46</v>
      </c>
      <c r="C8" s="20">
        <f>IFERROR(((B8/B59)*100),"")</f>
        <v>3.547624597</v>
      </c>
      <c r="D8" s="20">
        <f>IFERROR(((B8/B11)*100),"")</f>
        <v>1.702089775</v>
      </c>
    </row>
    <row r="9" ht="15.75" customHeight="1" outlineLevel="1">
      <c r="A9" s="6" t="s">
        <v>340</v>
      </c>
      <c r="B9" s="7">
        <v>45066.23</v>
      </c>
      <c r="C9" s="20">
        <f>IFERROR(((B9/B59)*100),"")</f>
        <v>9.901127859</v>
      </c>
      <c r="D9" s="20">
        <f>IFERROR(((B9/B11)*100),"")</f>
        <v>4.750392277</v>
      </c>
    </row>
    <row r="10" ht="15.75" customHeight="1" outlineLevel="1">
      <c r="A10" s="6" t="s">
        <v>77</v>
      </c>
      <c r="B10" s="7">
        <v>887470.7</v>
      </c>
      <c r="C10" s="20">
        <f>IFERROR(((B10/B59)*100),"")</f>
        <v>194.9788316</v>
      </c>
      <c r="D10" s="20">
        <f>IFERROR(((B10/B11)*100),"")</f>
        <v>93.54751795</v>
      </c>
    </row>
    <row r="11" ht="15.75" customHeight="1">
      <c r="A11" s="8" t="s">
        <v>341</v>
      </c>
      <c r="B11" s="9">
        <f>B8+B9+B10</f>
        <v>948684.39</v>
      </c>
      <c r="C11" s="21">
        <f>IFERROR(((B11/B59)*100),"")</f>
        <v>208.4275841</v>
      </c>
      <c r="D11" s="21">
        <f>IFERROR(((B11/B11)*100),"")</f>
        <v>100</v>
      </c>
    </row>
    <row r="12" ht="15.75" customHeight="1">
      <c r="A12" s="6" t="s">
        <v>342</v>
      </c>
      <c r="B12" s="4"/>
      <c r="C12" s="4"/>
      <c r="D12" s="4"/>
    </row>
    <row r="13" ht="15.75" customHeight="1" outlineLevel="1">
      <c r="A13" s="6" t="s">
        <v>343</v>
      </c>
      <c r="B13" s="10"/>
      <c r="C13" s="20">
        <f>IFERROR(((B13/B59)*100),"")</f>
        <v>0</v>
      </c>
      <c r="D13" s="20">
        <f>IFERROR(((B13/B11)*100),"")</f>
        <v>0</v>
      </c>
    </row>
    <row r="14" ht="15.75" customHeight="1" outlineLevel="2">
      <c r="A14" s="6" t="s">
        <v>183</v>
      </c>
      <c r="B14" s="7">
        <v>42837.22</v>
      </c>
      <c r="C14" s="20">
        <f>IFERROR(((B14/B59)*100),"")</f>
        <v>9.411410547</v>
      </c>
      <c r="D14" s="20">
        <f>IFERROR(((B14/B11)*100),"")</f>
        <v>4.515434264</v>
      </c>
    </row>
    <row r="15" ht="15.75" customHeight="1" outlineLevel="2">
      <c r="A15" s="6" t="s">
        <v>224</v>
      </c>
      <c r="B15" s="7">
        <v>366512.08</v>
      </c>
      <c r="C15" s="20">
        <f>IFERROR(((B15/B59)*100),"")</f>
        <v>80.52333123</v>
      </c>
      <c r="D15" s="20">
        <f>IFERROR(((B15/B11)*100),"")</f>
        <v>38.63372096</v>
      </c>
    </row>
    <row r="16" ht="15.75" customHeight="1" outlineLevel="1">
      <c r="A16" s="8" t="s">
        <v>344</v>
      </c>
      <c r="B16" s="9">
        <f>B13+B14+B15</f>
        <v>409349.3</v>
      </c>
      <c r="C16" s="21">
        <f>IFERROR(((B16/B59)*100),"")</f>
        <v>89.93474178</v>
      </c>
      <c r="D16" s="21">
        <f>IFERROR(((B16/B11)*100),"")</f>
        <v>43.14915522</v>
      </c>
    </row>
    <row r="17" ht="15.75" customHeight="1">
      <c r="A17" s="8" t="s">
        <v>345</v>
      </c>
      <c r="B17" s="9">
        <f>B16</f>
        <v>409349.3</v>
      </c>
      <c r="C17" s="21">
        <f>IFERROR(((B17/B59)*100),"")</f>
        <v>89.93474178</v>
      </c>
      <c r="D17" s="21">
        <f>IFERROR(((B17/B11)*100),"")</f>
        <v>43.14915522</v>
      </c>
    </row>
    <row r="18" ht="15.75" customHeight="1">
      <c r="A18" s="8" t="s">
        <v>346</v>
      </c>
      <c r="B18" s="9">
        <f>B11-B17</f>
        <v>539335.09</v>
      </c>
      <c r="C18" s="21">
        <f>IFERROR(((B18/B59)*100),"")</f>
        <v>118.4928423</v>
      </c>
      <c r="D18" s="21">
        <f>IFERROR(((B18/B11)*100),"")</f>
        <v>56.85084478</v>
      </c>
    </row>
    <row r="19" ht="15.75" customHeight="1">
      <c r="A19" s="6" t="s">
        <v>347</v>
      </c>
      <c r="B19" s="4"/>
      <c r="C19" s="4"/>
      <c r="D19" s="4"/>
    </row>
    <row r="20" ht="15.75" customHeight="1" outlineLevel="1">
      <c r="A20" s="6" t="s">
        <v>218</v>
      </c>
      <c r="B20" s="7">
        <v>69867.59</v>
      </c>
      <c r="C20" s="20">
        <f>IFERROR(((B20/B59)*100),"")</f>
        <v>15.3500291</v>
      </c>
      <c r="D20" s="20">
        <f>IFERROR(((B20/B11)*100),"")</f>
        <v>7.364682157</v>
      </c>
    </row>
    <row r="21" ht="15.75" customHeight="1" outlineLevel="2">
      <c r="A21" s="6" t="s">
        <v>180</v>
      </c>
      <c r="B21" s="7">
        <v>8166.92</v>
      </c>
      <c r="C21" s="20">
        <f>IFERROR(((B21/B59)*100),"")</f>
        <v>1.794286301</v>
      </c>
      <c r="D21" s="20">
        <f>IFERROR(((B21/B11)*100),"")</f>
        <v>0.8608679647</v>
      </c>
    </row>
    <row r="22" ht="15.75" customHeight="1" outlineLevel="1">
      <c r="A22" s="8" t="s">
        <v>348</v>
      </c>
      <c r="B22" s="9">
        <f>B20+B21</f>
        <v>78034.51</v>
      </c>
      <c r="C22" s="21">
        <f>IFERROR(((B22/B59)*100),"")</f>
        <v>17.1443154</v>
      </c>
      <c r="D22" s="21">
        <f>IFERROR(((B22/B11)*100),"")</f>
        <v>8.225550122</v>
      </c>
    </row>
    <row r="23" ht="15.75" customHeight="1" outlineLevel="1">
      <c r="A23" s="6" t="s">
        <v>92</v>
      </c>
      <c r="B23" s="7">
        <v>82868.31</v>
      </c>
      <c r="C23" s="20">
        <f>IFERROR(((B23/B59)*100),"")</f>
        <v>18.20630953</v>
      </c>
      <c r="D23" s="20">
        <f>IFERROR(((B23/B11)*100),"")</f>
        <v>8.735076794</v>
      </c>
    </row>
    <row r="24" ht="15.75" customHeight="1" outlineLevel="1">
      <c r="A24" s="6" t="s">
        <v>392</v>
      </c>
      <c r="B24" s="7">
        <v>1145.48</v>
      </c>
      <c r="C24" s="20">
        <f>IFERROR(((B24/B59)*100),"")</f>
        <v>0.2516639164</v>
      </c>
      <c r="D24" s="20">
        <f>IFERROR(((B24/B11)*100),"")</f>
        <v>0.1207440548</v>
      </c>
    </row>
    <row r="25" ht="15.75" customHeight="1" outlineLevel="1">
      <c r="A25" s="6" t="s">
        <v>150</v>
      </c>
      <c r="B25" s="7">
        <v>17699.0</v>
      </c>
      <c r="C25" s="20">
        <f>IFERROR(((B25/B59)*100),"")</f>
        <v>3.888500591</v>
      </c>
      <c r="D25" s="20">
        <f>IFERROR(((B25/B11)*100),"")</f>
        <v>1.865636263</v>
      </c>
    </row>
    <row r="26" ht="15.75" customHeight="1" outlineLevel="1">
      <c r="A26" s="6" t="s">
        <v>101</v>
      </c>
      <c r="B26" s="7">
        <v>173.2</v>
      </c>
      <c r="C26" s="20">
        <f>IFERROR(((B26/B59)*100),"")</f>
        <v>0.03805233642</v>
      </c>
      <c r="D26" s="20">
        <f>IFERROR(((B26/B11)*100),"")</f>
        <v>0.01825686201</v>
      </c>
    </row>
    <row r="27" ht="15.75" customHeight="1" outlineLevel="1">
      <c r="A27" s="6" t="s">
        <v>119</v>
      </c>
      <c r="B27" s="7">
        <v>33932.76</v>
      </c>
      <c r="C27" s="20">
        <f>IFERROR(((B27/B59)*100),"")</f>
        <v>7.455085445</v>
      </c>
      <c r="D27" s="20">
        <f>IFERROR(((B27/B11)*100),"")</f>
        <v>3.576822846</v>
      </c>
    </row>
    <row r="28" ht="15.75" customHeight="1" outlineLevel="1">
      <c r="A28" s="6" t="s">
        <v>349</v>
      </c>
      <c r="B28" s="10"/>
      <c r="C28" s="20">
        <f>IFERROR(((B28/B59)*100),"")</f>
        <v>0</v>
      </c>
      <c r="D28" s="20">
        <f>IFERROR(((B28/B11)*100),"")</f>
        <v>0</v>
      </c>
    </row>
    <row r="29" ht="15.75" customHeight="1" outlineLevel="2">
      <c r="A29" s="6" t="s">
        <v>284</v>
      </c>
      <c r="B29" s="7">
        <v>194.93</v>
      </c>
      <c r="C29" s="20">
        <f>IFERROR(((B29/B59)*100),"")</f>
        <v>0.04282645461</v>
      </c>
      <c r="D29" s="20">
        <f>IFERROR(((B29/B11)*100),"")</f>
        <v>0.02054740249</v>
      </c>
    </row>
    <row r="30" ht="15.75" customHeight="1" outlineLevel="2">
      <c r="A30" s="6" t="s">
        <v>278</v>
      </c>
      <c r="B30" s="7">
        <v>69.95</v>
      </c>
      <c r="C30" s="20">
        <f>IFERROR(((B30/B59)*100),"")</f>
        <v>0.01536813471</v>
      </c>
      <c r="D30" s="20">
        <f>IFERROR(((B30/B11)*100),"")</f>
        <v>0.007373368924</v>
      </c>
    </row>
    <row r="31" ht="15.75" customHeight="1" outlineLevel="2">
      <c r="A31" s="6" t="s">
        <v>140</v>
      </c>
      <c r="B31" s="7">
        <v>4709.26</v>
      </c>
      <c r="C31" s="20">
        <f>IFERROR(((B31/B59)*100),"")</f>
        <v>1.034632482</v>
      </c>
      <c r="D31" s="20">
        <f>IFERROR(((B31/B11)*100),"")</f>
        <v>0.4963990184</v>
      </c>
    </row>
    <row r="32" ht="15.75" customHeight="1" outlineLevel="1">
      <c r="A32" s="8" t="s">
        <v>350</v>
      </c>
      <c r="B32" s="9">
        <f>B28+B29+B30+B31</f>
        <v>4974.14</v>
      </c>
      <c r="C32" s="21">
        <f>IFERROR(((B32/B59)*100),"")</f>
        <v>1.092827071</v>
      </c>
      <c r="D32" s="21">
        <f>IFERROR(((B32/B11)*100),"")</f>
        <v>0.5243197899</v>
      </c>
    </row>
    <row r="33" ht="15.75" customHeight="1" outlineLevel="1">
      <c r="A33" s="6" t="s">
        <v>146</v>
      </c>
      <c r="B33" s="7">
        <v>11595.66</v>
      </c>
      <c r="C33" s="20">
        <f>IFERROR(((B33/B59)*100),"")</f>
        <v>2.547586347</v>
      </c>
      <c r="D33" s="20">
        <f>IFERROR(((B33/B11)*100),"")</f>
        <v>1.222288479</v>
      </c>
    </row>
    <row r="34" ht="15.75" customHeight="1" outlineLevel="1">
      <c r="A34" s="6" t="s">
        <v>351</v>
      </c>
      <c r="B34" s="10"/>
      <c r="C34" s="20">
        <f>IFERROR(((B34/B59)*100),"")</f>
        <v>0</v>
      </c>
      <c r="D34" s="20">
        <f>IFERROR(((B34/B11)*100),"")</f>
        <v>0</v>
      </c>
    </row>
    <row r="35" ht="15.75" customHeight="1" outlineLevel="2">
      <c r="A35" s="6" t="s">
        <v>81</v>
      </c>
      <c r="B35" s="7">
        <v>9180.0</v>
      </c>
      <c r="C35" s="20">
        <f>IFERROR(((B35/B59)*100),"")</f>
        <v>2.016861711</v>
      </c>
      <c r="D35" s="20">
        <f>IFERROR(((B35/B11)*100),"")</f>
        <v>0.9676558502</v>
      </c>
    </row>
    <row r="36" ht="15.75" customHeight="1" outlineLevel="1">
      <c r="A36" s="8" t="s">
        <v>352</v>
      </c>
      <c r="B36" s="9">
        <f>B34+B35</f>
        <v>9180</v>
      </c>
      <c r="C36" s="21">
        <f>IFERROR(((B36/B59)*100),"")</f>
        <v>2.016861711</v>
      </c>
      <c r="D36" s="21">
        <f>IFERROR(((B36/B11)*100),"")</f>
        <v>0.9676558502</v>
      </c>
    </row>
    <row r="37" ht="15.75" customHeight="1" outlineLevel="1">
      <c r="A37" s="6" t="s">
        <v>393</v>
      </c>
      <c r="B37" s="7">
        <v>220.51</v>
      </c>
      <c r="C37" s="20">
        <f>IFERROR(((B37/B59)*100),"")</f>
        <v>0.04844642439</v>
      </c>
      <c r="D37" s="20">
        <f>IFERROR(((B37/B11)*100),"")</f>
        <v>0.02324376814</v>
      </c>
    </row>
    <row r="38" ht="15.75" customHeight="1" outlineLevel="1">
      <c r="A38" s="6" t="s">
        <v>353</v>
      </c>
      <c r="B38" s="7">
        <v>424.46</v>
      </c>
      <c r="C38" s="20">
        <f>IFERROR(((B38/B59)*100),"")</f>
        <v>0.09325458843</v>
      </c>
      <c r="D38" s="20">
        <f>IFERROR(((B38/B11)*100),"")</f>
        <v>0.04474196102</v>
      </c>
    </row>
    <row r="39" ht="15.75" customHeight="1" outlineLevel="2">
      <c r="A39" s="6" t="s">
        <v>106</v>
      </c>
      <c r="B39" s="7">
        <v>2143.47</v>
      </c>
      <c r="C39" s="20">
        <f>IFERROR(((B39/B59)*100),"")</f>
        <v>0.4709240274</v>
      </c>
      <c r="D39" s="20">
        <f>IFERROR(((B39/B11)*100),"")</f>
        <v>0.2259413165</v>
      </c>
    </row>
    <row r="40" ht="15.75" customHeight="1" outlineLevel="2">
      <c r="A40" s="6" t="s">
        <v>300</v>
      </c>
      <c r="B40" s="7">
        <v>639.47</v>
      </c>
      <c r="C40" s="20">
        <f>IFERROR(((B40/B59)*100),"")</f>
        <v>0.1404926534</v>
      </c>
      <c r="D40" s="20">
        <f>IFERROR(((B40/B11)*100),"")</f>
        <v>0.06740597893</v>
      </c>
    </row>
    <row r="41" ht="15.75" customHeight="1" outlineLevel="2">
      <c r="A41" s="6" t="s">
        <v>254</v>
      </c>
      <c r="B41" s="7">
        <v>219.77</v>
      </c>
      <c r="C41" s="20">
        <f>IFERROR(((B41/B59)*100),"")</f>
        <v>0.04828384512</v>
      </c>
      <c r="D41" s="20">
        <f>IFERROR(((B41/B11)*100),"")</f>
        <v>0.02316576538</v>
      </c>
    </row>
    <row r="42" ht="15.75" customHeight="1" outlineLevel="2">
      <c r="A42" s="6" t="s">
        <v>95</v>
      </c>
      <c r="B42" s="7">
        <v>3827.99</v>
      </c>
      <c r="C42" s="20">
        <f>IFERROR(((B42/B59)*100),"")</f>
        <v>0.8410159543</v>
      </c>
      <c r="D42" s="20">
        <f>IFERROR(((B42/B11)*100),"")</f>
        <v>0.4035051109</v>
      </c>
    </row>
    <row r="43" ht="15.75" customHeight="1" outlineLevel="1">
      <c r="A43" s="8" t="s">
        <v>354</v>
      </c>
      <c r="B43" s="9">
        <f>B38+B39+B40+B41+B42</f>
        <v>7255.16</v>
      </c>
      <c r="C43" s="21">
        <f>IFERROR(((B43/B59)*100),"")</f>
        <v>1.593971069</v>
      </c>
      <c r="D43" s="21">
        <f>IFERROR(((B43/B11)*100),"")</f>
        <v>0.7647601327</v>
      </c>
    </row>
    <row r="44" ht="15.75" customHeight="1" outlineLevel="1">
      <c r="A44" s="6" t="s">
        <v>355</v>
      </c>
      <c r="B44" s="10"/>
      <c r="C44" s="20">
        <f>IFERROR(((B44/B59)*100),"")</f>
        <v>0</v>
      </c>
      <c r="D44" s="20">
        <f>IFERROR(((B44/B11)*100),"")</f>
        <v>0</v>
      </c>
    </row>
    <row r="45" ht="15.75" customHeight="1" outlineLevel="2">
      <c r="A45" s="6" t="s">
        <v>356</v>
      </c>
      <c r="B45" s="7">
        <v>22233.08</v>
      </c>
      <c r="C45" s="20">
        <f>IFERROR(((B45/B59)*100),"")</f>
        <v>4.884645726</v>
      </c>
      <c r="D45" s="20">
        <f>IFERROR(((B45/B11)*100),"")</f>
        <v>2.343569709</v>
      </c>
    </row>
    <row r="46" ht="15.75" customHeight="1" outlineLevel="2">
      <c r="A46" s="6" t="s">
        <v>112</v>
      </c>
      <c r="B46" s="7">
        <v>167697.4</v>
      </c>
      <c r="C46" s="20">
        <f>IFERROR(((B46/B59)*100),"")</f>
        <v>36.84340578</v>
      </c>
      <c r="D46" s="20">
        <f>IFERROR(((B46/B11)*100),"")</f>
        <v>17.67683771</v>
      </c>
    </row>
    <row r="47" ht="15.75" customHeight="1" outlineLevel="1">
      <c r="A47" s="8" t="s">
        <v>357</v>
      </c>
      <c r="B47" s="9">
        <f>B44+B45+B46</f>
        <v>189930.48</v>
      </c>
      <c r="C47" s="21">
        <f>IFERROR(((B47/B59)*100),"")</f>
        <v>41.72805151</v>
      </c>
      <c r="D47" s="21">
        <f>IFERROR(((B47/B11)*100),"")</f>
        <v>20.02040742</v>
      </c>
    </row>
    <row r="48" ht="15.75" customHeight="1" outlineLevel="1">
      <c r="A48" s="6" t="s">
        <v>282</v>
      </c>
      <c r="B48" s="7">
        <v>3718.56</v>
      </c>
      <c r="C48" s="20">
        <f>IFERROR(((B48/B59)*100),"")</f>
        <v>0.816973996</v>
      </c>
      <c r="D48" s="20">
        <f>IFERROR(((B48/B11)*100),"")</f>
        <v>0.3919701894</v>
      </c>
    </row>
    <row r="49" ht="15.75" customHeight="1" outlineLevel="1">
      <c r="A49" s="6" t="s">
        <v>358</v>
      </c>
      <c r="B49" s="7">
        <v>154.0</v>
      </c>
      <c r="C49" s="20">
        <f>IFERROR(((B49/B59)*100),"")</f>
        <v>0.03383406356</v>
      </c>
      <c r="D49" s="20">
        <f>IFERROR(((B49/B11)*100),"")</f>
        <v>0.01623300664</v>
      </c>
    </row>
    <row r="50" ht="15.75" customHeight="1" outlineLevel="2">
      <c r="A50" s="6" t="s">
        <v>221</v>
      </c>
      <c r="B50" s="7">
        <v>5155.91</v>
      </c>
      <c r="C50" s="20">
        <f>IFERROR(((B50/B59)*100),"")</f>
        <v>1.132762251</v>
      </c>
      <c r="D50" s="20">
        <f>IFERROR(((B50/B11)*100),"")</f>
        <v>0.5434800081</v>
      </c>
    </row>
    <row r="51" ht="15.75" customHeight="1" outlineLevel="2">
      <c r="A51" s="6" t="s">
        <v>394</v>
      </c>
      <c r="B51" s="7">
        <v>950.76</v>
      </c>
      <c r="C51" s="20">
        <f>IFERROR(((B51/B59)*100),"")</f>
        <v>0.2088835992</v>
      </c>
      <c r="D51" s="20">
        <f>IFERROR(((B51/B11)*100),"")</f>
        <v>0.1002187883</v>
      </c>
    </row>
    <row r="52" ht="15.75" customHeight="1" outlineLevel="1">
      <c r="A52" s="8" t="s">
        <v>359</v>
      </c>
      <c r="B52" s="9">
        <f>B49+B50+B51</f>
        <v>6260.67</v>
      </c>
      <c r="C52" s="21">
        <f>IFERROR(((B52/B59)*100),"")</f>
        <v>1.375479914</v>
      </c>
      <c r="D52" s="21">
        <f>IFERROR(((B52/B11)*100),"")</f>
        <v>0.659931803</v>
      </c>
    </row>
    <row r="53" ht="15.75" customHeight="1" outlineLevel="1">
      <c r="A53" s="6" t="s">
        <v>395</v>
      </c>
      <c r="B53" s="7">
        <v>0.0</v>
      </c>
      <c r="C53" s="20">
        <f>IFERROR(((B53/B59)*100),"")</f>
        <v>0</v>
      </c>
      <c r="D53" s="20">
        <f>IFERROR(((B53/B11)*100),"")</f>
        <v>0</v>
      </c>
    </row>
    <row r="54" ht="15.75" customHeight="1" outlineLevel="1">
      <c r="A54" s="6" t="s">
        <v>136</v>
      </c>
      <c r="B54" s="7">
        <v>3154.21</v>
      </c>
      <c r="C54" s="20">
        <f>IFERROR(((B54/B59)*100),"")</f>
        <v>0.6929853352</v>
      </c>
      <c r="D54" s="20">
        <f>IFERROR(((B54/B11)*100),"")</f>
        <v>0.3324825446</v>
      </c>
    </row>
    <row r="55" ht="15.75" customHeight="1" outlineLevel="2">
      <c r="A55" s="6" t="s">
        <v>396</v>
      </c>
      <c r="B55" s="7">
        <v>176.96</v>
      </c>
      <c r="C55" s="20">
        <f>IFERROR(((B55/B59)*100),"")</f>
        <v>0.03887841485</v>
      </c>
      <c r="D55" s="20">
        <f>IFERROR(((B55/B11)*100),"")</f>
        <v>0.01865320035</v>
      </c>
    </row>
    <row r="56" ht="15.75" customHeight="1" outlineLevel="2">
      <c r="A56" s="6" t="s">
        <v>228</v>
      </c>
      <c r="B56" s="7">
        <v>3766.63</v>
      </c>
      <c r="C56" s="20">
        <f>IFERROR(((B56/B59)*100),"")</f>
        <v>0.8275350573</v>
      </c>
      <c r="D56" s="20">
        <f>IFERROR(((B56/B11)*100),"")</f>
        <v>0.3970372064</v>
      </c>
    </row>
    <row r="57" ht="15.75" customHeight="1" outlineLevel="2">
      <c r="A57" s="6" t="s">
        <v>257</v>
      </c>
      <c r="B57" s="7">
        <v>1076.35</v>
      </c>
      <c r="C57" s="20">
        <f>IFERROR(((B57/B59)*100),"")</f>
        <v>0.2364759371</v>
      </c>
      <c r="D57" s="20">
        <f>IFERROR(((B57/B11)*100),"")</f>
        <v>0.1134571214</v>
      </c>
    </row>
    <row r="58" ht="15.75" customHeight="1" outlineLevel="1">
      <c r="A58" s="8" t="s">
        <v>360</v>
      </c>
      <c r="B58" s="9">
        <f>B54+B55+B56+B57</f>
        <v>8174.15</v>
      </c>
      <c r="C58" s="21">
        <f>IFERROR(((B58/B59)*100),"")</f>
        <v>1.795874744</v>
      </c>
      <c r="D58" s="21">
        <f>IFERROR(((B58/B11)*100),"")</f>
        <v>0.8616300728</v>
      </c>
    </row>
    <row r="59" ht="15.75" customHeight="1">
      <c r="A59" s="8" t="s">
        <v>361</v>
      </c>
      <c r="B59" s="9">
        <f>B22+B23+B24+B25+B26+B27+B32+B33+B36+B37+B43+B47+B48+B52+B53+B58</f>
        <v>455162.59</v>
      </c>
      <c r="C59" s="21">
        <f>IFERROR(((B59/B59)*100),"")</f>
        <v>100</v>
      </c>
      <c r="D59" s="21">
        <f>IFERROR(((B59/B11)*100),"")</f>
        <v>47.97829445</v>
      </c>
    </row>
    <row r="60" ht="15.75" customHeight="1">
      <c r="A60" s="8" t="s">
        <v>362</v>
      </c>
      <c r="B60" s="9">
        <f>B18-B59</f>
        <v>84172.5</v>
      </c>
      <c r="C60" s="21">
        <f>IFERROR(((B60/B59)*100),"")</f>
        <v>18.4928423</v>
      </c>
      <c r="D60" s="21">
        <f>IFERROR(((B60/B11)*100),"")</f>
        <v>8.872550333</v>
      </c>
    </row>
    <row r="61" ht="15.75" customHeight="1">
      <c r="A61" s="6" t="s">
        <v>363</v>
      </c>
      <c r="B61" s="4"/>
      <c r="C61" s="4"/>
      <c r="D61" s="4"/>
    </row>
    <row r="62" ht="15.75" customHeight="1" outlineLevel="1">
      <c r="A62" s="6" t="s">
        <v>364</v>
      </c>
      <c r="B62" s="10"/>
      <c r="C62" s="20">
        <f>IFERROR(((B62/B59)*100),"")</f>
        <v>0</v>
      </c>
      <c r="D62" s="20">
        <f>IFERROR(((B62/B11)*100),"")</f>
        <v>0</v>
      </c>
    </row>
    <row r="63" ht="15.75" customHeight="1" outlineLevel="2">
      <c r="A63" s="6" t="s">
        <v>202</v>
      </c>
      <c r="B63" s="7">
        <v>1660.85</v>
      </c>
      <c r="C63" s="20">
        <f>IFERROR(((B63/B59)*100),"")</f>
        <v>0.3648915874</v>
      </c>
      <c r="D63" s="20">
        <f>IFERROR(((B63/B11)*100),"")</f>
        <v>0.1750687602</v>
      </c>
    </row>
    <row r="64" ht="15.75" customHeight="1" outlineLevel="2">
      <c r="A64" s="6" t="s">
        <v>296</v>
      </c>
      <c r="B64" s="7">
        <v>7203.01</v>
      </c>
      <c r="C64" s="20">
        <f>IFERROR(((B64/B59)*100),"")</f>
        <v>1.582513624</v>
      </c>
      <c r="D64" s="20">
        <f>IFERROR(((B64/B11)*100),"")</f>
        <v>0.7592630464</v>
      </c>
    </row>
    <row r="65" ht="15.75" customHeight="1" outlineLevel="2">
      <c r="A65" s="6" t="s">
        <v>153</v>
      </c>
      <c r="B65" s="7">
        <v>363.42</v>
      </c>
      <c r="C65" s="20">
        <f>IFERROR(((B65/B59)*100),"")</f>
        <v>0.07984399597</v>
      </c>
      <c r="D65" s="20">
        <f>IFERROR(((B65/B11)*100),"")</f>
        <v>0.03830778748</v>
      </c>
    </row>
    <row r="66" ht="15.75" customHeight="1" outlineLevel="1">
      <c r="A66" s="8" t="s">
        <v>365</v>
      </c>
      <c r="B66" s="9">
        <f>B62+B63+B64+B65</f>
        <v>9227.28</v>
      </c>
      <c r="C66" s="21">
        <f>IFERROR(((B66/B59)*100),"")</f>
        <v>2.027249208</v>
      </c>
      <c r="D66" s="21">
        <f>IFERROR(((B66/B11)*100),"")</f>
        <v>0.9726395941</v>
      </c>
    </row>
    <row r="67" ht="15.75" customHeight="1">
      <c r="A67" s="8" t="s">
        <v>366</v>
      </c>
      <c r="B67" s="9">
        <f>B66</f>
        <v>9227.28</v>
      </c>
      <c r="C67" s="21">
        <f>IFERROR(((B67/B59)*100),"")</f>
        <v>2.027249208</v>
      </c>
      <c r="D67" s="21">
        <f>IFERROR(((B67/B11)*100),"")</f>
        <v>0.9726395941</v>
      </c>
    </row>
    <row r="68" ht="15.75" customHeight="1">
      <c r="A68" s="6" t="s">
        <v>367</v>
      </c>
      <c r="B68" s="4"/>
      <c r="C68" s="4"/>
      <c r="D68" s="4"/>
    </row>
    <row r="69" ht="15.75" customHeight="1" outlineLevel="1">
      <c r="A69" s="6" t="s">
        <v>368</v>
      </c>
      <c r="B69" s="7">
        <v>25263.16</v>
      </c>
      <c r="C69" s="20">
        <f>IFERROR(((B69/B59)*100),"")</f>
        <v>5.550359488</v>
      </c>
      <c r="D69" s="20">
        <f>IFERROR(((B69/B11)*100),"")</f>
        <v>2.662967818</v>
      </c>
    </row>
    <row r="70" ht="15.75" customHeight="1" outlineLevel="1">
      <c r="A70" s="6" t="s">
        <v>369</v>
      </c>
      <c r="B70" s="7">
        <v>16864.42</v>
      </c>
      <c r="C70" s="20">
        <f>IFERROR(((B70/B59)*100),"")</f>
        <v>3.705141936</v>
      </c>
      <c r="D70" s="20">
        <f>IFERROR(((B70/B11)*100),"")</f>
        <v>1.777663908</v>
      </c>
    </row>
    <row r="71" ht="15.75" customHeight="1" outlineLevel="1">
      <c r="A71" s="6" t="s">
        <v>397</v>
      </c>
      <c r="B71" s="7">
        <v>12.0</v>
      </c>
      <c r="C71" s="20">
        <f>IFERROR(((B71/B59)*100),"")</f>
        <v>0.002636420537</v>
      </c>
      <c r="D71" s="20">
        <f>IFERROR(((B71/B11)*100),"")</f>
        <v>0.001264909608</v>
      </c>
    </row>
    <row r="72" ht="15.75" customHeight="1">
      <c r="A72" s="8" t="s">
        <v>370</v>
      </c>
      <c r="B72" s="9">
        <f>B69+B70+B71</f>
        <v>42139.58</v>
      </c>
      <c r="C72" s="21">
        <f>IFERROR(((B72/B59)*100),"")</f>
        <v>9.258137845</v>
      </c>
      <c r="D72" s="21">
        <f>IFERROR(((B72/B11)*100),"")</f>
        <v>4.441896635</v>
      </c>
    </row>
    <row r="73" ht="15.75" customHeight="1">
      <c r="A73" s="8" t="s">
        <v>371</v>
      </c>
      <c r="B73" s="9">
        <f>B67-B72</f>
        <v>-32912.3</v>
      </c>
      <c r="C73" s="21">
        <f>IFERROR(((B73/B59)*100),"")</f>
        <v>-7.230888637</v>
      </c>
      <c r="D73" s="21">
        <f>IFERROR(((B73/B11)*100),"")</f>
        <v>-3.469257041</v>
      </c>
    </row>
    <row r="74" ht="15.75" customHeight="1">
      <c r="A74" s="8" t="s">
        <v>56</v>
      </c>
      <c r="B74" s="9">
        <f>B60+B73</f>
        <v>51260.2</v>
      </c>
      <c r="C74" s="21">
        <f>IFERROR(((B74/B59)*100),"")</f>
        <v>11.26195367</v>
      </c>
      <c r="D74" s="21">
        <f>IFERROR(((B74/B11)*100),"")</f>
        <v>5.403293291</v>
      </c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11" t="s">
        <v>372</v>
      </c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5">
    <mergeCell ref="A1:D1"/>
    <mergeCell ref="A2:D2"/>
    <mergeCell ref="A3:D3"/>
    <mergeCell ref="B5:D5"/>
    <mergeCell ref="A78:D7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