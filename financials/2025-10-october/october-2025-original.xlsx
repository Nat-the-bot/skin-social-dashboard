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bllc.sharepoint.com/sites/ECBASClientFiles/Shared Documents/General/32258 - Skin Social/Bookkeeping/2025/Financials/"/>
    </mc:Choice>
  </mc:AlternateContent>
  <xr:revisionPtr revIDLastSave="15" documentId="8_{01A9CAEA-74E5-4CC7-8B38-FF1B98BC5F09}" xr6:coauthVersionLast="47" xr6:coauthVersionMax="47" xr10:uidLastSave="{0255C0A4-A631-43D7-BF01-604AF388BCEA}"/>
  <bookViews>
    <workbookView xWindow="-120" yWindow="-120" windowWidth="29040" windowHeight="15720" xr2:uid="{00000000-000D-0000-FFFF-FFFF00000000}"/>
  </bookViews>
  <sheets>
    <sheet name="Balance Sheet" sheetId="4" r:id="rId1"/>
    <sheet name="P&amp;L" sheetId="6" r:id="rId2"/>
    <sheet name="P&amp;L by Month" sheetId="3" r:id="rId3"/>
    <sheet name="Statement of Cash Flows" sheetId="1" r:id="rId4"/>
    <sheet name="General Ledg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6" l="1"/>
  <c r="B17" i="6" s="1"/>
  <c r="B51" i="6" s="1"/>
  <c r="B61" i="6" s="1"/>
  <c r="B15" i="6"/>
  <c r="B16" i="6" s="1"/>
  <c r="B21" i="6"/>
  <c r="B27" i="6"/>
  <c r="B31" i="6"/>
  <c r="B38" i="6"/>
  <c r="B42" i="6"/>
  <c r="B45" i="6"/>
  <c r="B49" i="6"/>
  <c r="B50" i="6"/>
  <c r="B57" i="6"/>
  <c r="B58" i="6" s="1"/>
  <c r="B60" i="6" s="1"/>
  <c r="B10" i="4"/>
  <c r="B16" i="4"/>
  <c r="B22" i="4" s="1"/>
  <c r="B20" i="4"/>
  <c r="B28" i="4"/>
  <c r="B29" i="4"/>
  <c r="B39" i="4"/>
  <c r="B47" i="4"/>
  <c r="B49" i="4"/>
  <c r="B50" i="4"/>
  <c r="B52" i="4" s="1"/>
  <c r="B61" i="4" s="1"/>
  <c r="B60" i="4"/>
  <c r="B10" i="3"/>
  <c r="C10" i="3"/>
  <c r="D10" i="3"/>
  <c r="D17" i="3" s="1"/>
  <c r="D57" i="3" s="1"/>
  <c r="D71" i="3" s="1"/>
  <c r="E10" i="3"/>
  <c r="F10" i="3"/>
  <c r="G10" i="3"/>
  <c r="H10" i="3"/>
  <c r="H17" i="3" s="1"/>
  <c r="I10" i="3"/>
  <c r="I17" i="3" s="1"/>
  <c r="J10" i="3"/>
  <c r="K10" i="3"/>
  <c r="K17" i="3" s="1"/>
  <c r="B15" i="3"/>
  <c r="B16" i="3" s="1"/>
  <c r="B17" i="3" s="1"/>
  <c r="B57" i="3" s="1"/>
  <c r="B71" i="3" s="1"/>
  <c r="C15" i="3"/>
  <c r="C16" i="3" s="1"/>
  <c r="C17" i="3" s="1"/>
  <c r="C57" i="3" s="1"/>
  <c r="D15" i="3"/>
  <c r="E15" i="3"/>
  <c r="E16" i="3" s="1"/>
  <c r="E17" i="3" s="1"/>
  <c r="E57" i="3" s="1"/>
  <c r="E71" i="3" s="1"/>
  <c r="F15" i="3"/>
  <c r="F16" i="3" s="1"/>
  <c r="F17" i="3" s="1"/>
  <c r="F57" i="3" s="1"/>
  <c r="G15" i="3"/>
  <c r="H15" i="3"/>
  <c r="I15" i="3"/>
  <c r="J15" i="3"/>
  <c r="J16" i="3" s="1"/>
  <c r="J17" i="3" s="1"/>
  <c r="K15" i="3"/>
  <c r="D16" i="3"/>
  <c r="G16" i="3"/>
  <c r="G17" i="3" s="1"/>
  <c r="H16" i="3"/>
  <c r="I16" i="3"/>
  <c r="K16" i="3"/>
  <c r="B21" i="3"/>
  <c r="C21" i="3"/>
  <c r="D21" i="3"/>
  <c r="E21" i="3"/>
  <c r="F21" i="3"/>
  <c r="G21" i="3"/>
  <c r="H21" i="3"/>
  <c r="H56" i="3" s="1"/>
  <c r="I21" i="3"/>
  <c r="I56" i="3" s="1"/>
  <c r="J21" i="3"/>
  <c r="J56" i="3" s="1"/>
  <c r="K21" i="3"/>
  <c r="L23" i="3"/>
  <c r="L27" i="3"/>
  <c r="B29" i="3"/>
  <c r="C29" i="3"/>
  <c r="D29" i="3"/>
  <c r="E29" i="3"/>
  <c r="E56" i="3" s="1"/>
  <c r="F29" i="3"/>
  <c r="F56" i="3" s="1"/>
  <c r="G29" i="3"/>
  <c r="G56" i="3" s="1"/>
  <c r="H29" i="3"/>
  <c r="I29" i="3"/>
  <c r="J29" i="3"/>
  <c r="K29" i="3"/>
  <c r="K56" i="3" s="1"/>
  <c r="D33" i="3"/>
  <c r="F33" i="3"/>
  <c r="G33" i="3"/>
  <c r="H33" i="3"/>
  <c r="I33" i="3"/>
  <c r="J33" i="3"/>
  <c r="K33" i="3"/>
  <c r="L35" i="3"/>
  <c r="B40" i="3"/>
  <c r="C40" i="3"/>
  <c r="D40" i="3"/>
  <c r="E40" i="3"/>
  <c r="F40" i="3"/>
  <c r="G40" i="3"/>
  <c r="H40" i="3"/>
  <c r="I40" i="3"/>
  <c r="J40" i="3"/>
  <c r="K40" i="3"/>
  <c r="B44" i="3"/>
  <c r="C44" i="3"/>
  <c r="D44" i="3"/>
  <c r="E44" i="3"/>
  <c r="F44" i="3"/>
  <c r="G44" i="3"/>
  <c r="H44" i="3"/>
  <c r="I44" i="3"/>
  <c r="J44" i="3"/>
  <c r="K44" i="3"/>
  <c r="L45" i="3"/>
  <c r="L48" i="3"/>
  <c r="E49" i="3"/>
  <c r="G49" i="3"/>
  <c r="H49" i="3"/>
  <c r="J49" i="3"/>
  <c r="K49" i="3"/>
  <c r="L50" i="3"/>
  <c r="L52" i="3"/>
  <c r="B55" i="3"/>
  <c r="C55" i="3"/>
  <c r="D55" i="3"/>
  <c r="E55" i="3"/>
  <c r="F55" i="3"/>
  <c r="G55" i="3"/>
  <c r="H55" i="3"/>
  <c r="I55" i="3"/>
  <c r="J55" i="3"/>
  <c r="K55" i="3"/>
  <c r="B56" i="3"/>
  <c r="C56" i="3"/>
  <c r="D56" i="3"/>
  <c r="B63" i="3"/>
  <c r="C63" i="3"/>
  <c r="C64" i="3" s="1"/>
  <c r="C70" i="3" s="1"/>
  <c r="D63" i="3"/>
  <c r="E63" i="3"/>
  <c r="F63" i="3"/>
  <c r="G63" i="3"/>
  <c r="G64" i="3" s="1"/>
  <c r="G70" i="3" s="1"/>
  <c r="H63" i="3"/>
  <c r="H64" i="3" s="1"/>
  <c r="H70" i="3" s="1"/>
  <c r="I63" i="3"/>
  <c r="J63" i="3"/>
  <c r="J64" i="3" s="1"/>
  <c r="J70" i="3" s="1"/>
  <c r="K63" i="3"/>
  <c r="K64" i="3" s="1"/>
  <c r="K70" i="3" s="1"/>
  <c r="B64" i="3"/>
  <c r="D64" i="3"/>
  <c r="D70" i="3" s="1"/>
  <c r="E64" i="3"/>
  <c r="E70" i="3" s="1"/>
  <c r="F64" i="3"/>
  <c r="F70" i="3" s="1"/>
  <c r="I64" i="3"/>
  <c r="I70" i="3" s="1"/>
  <c r="L67" i="3"/>
  <c r="J68" i="3"/>
  <c r="L68" i="3"/>
  <c r="J69" i="3"/>
  <c r="L69" i="3"/>
  <c r="B70" i="3"/>
  <c r="B25" i="1"/>
  <c r="B18" i="1"/>
  <c r="B19" i="1" s="1"/>
  <c r="B26" i="1" s="1"/>
  <c r="B23" i="4" l="1"/>
  <c r="B31" i="4" s="1"/>
  <c r="F71" i="3"/>
  <c r="C71" i="3"/>
  <c r="K57" i="3"/>
  <c r="K71" i="3" s="1"/>
  <c r="J57" i="3"/>
  <c r="J71" i="3" s="1"/>
  <c r="I57" i="3"/>
  <c r="I71" i="3" s="1"/>
  <c r="H57" i="3"/>
  <c r="H71" i="3" s="1"/>
  <c r="G57" i="3"/>
  <c r="G71" i="3" s="1"/>
</calcChain>
</file>

<file path=xl/sharedStrings.xml><?xml version="1.0" encoding="utf-8"?>
<sst xmlns="http://schemas.openxmlformats.org/spreadsheetml/2006/main" count="2994" uniqueCount="469">
  <si>
    <t>Statement of Cash Flows</t>
  </si>
  <si>
    <t>Skin Social</t>
  </si>
  <si>
    <t>October 2025</t>
  </si>
  <si>
    <t>OPERATING ACTIVITIES</t>
  </si>
  <si>
    <t>Net Income</t>
  </si>
  <si>
    <t>Adjustments to reconcile Net Income to Net Cash provided by operations:</t>
  </si>
  <si>
    <t>Blue Business Cash Card - 91008</t>
  </si>
  <si>
    <t>Direct Deposit Payable</t>
  </si>
  <si>
    <t>Payroll Liabilities:Federal Taxes (941/943/944)</t>
  </si>
  <si>
    <t>Payroll Liabilities:Federal Unemployment (940)</t>
  </si>
  <si>
    <t>Payroll Liabilities:GA Income Tax</t>
  </si>
  <si>
    <t>Payroll Liabilities:GA Unemployment Tax</t>
  </si>
  <si>
    <t>Plum Card - 94003</t>
  </si>
  <si>
    <t>QuickBooks Tax Holding Account</t>
  </si>
  <si>
    <t>Sales tax to pay</t>
  </si>
  <si>
    <t>Total for Adjustments to reconcile Net Income to Net Cash provided by operations:</t>
  </si>
  <si>
    <t>Net cash provided by operating activities</t>
  </si>
  <si>
    <t>INVESTING ACTIVITIES</t>
  </si>
  <si>
    <t>FINANCING ACTIVITIES</t>
  </si>
  <si>
    <t>Owner investments</t>
  </si>
  <si>
    <t>Personal expenses</t>
  </si>
  <si>
    <t>Personal healthcare</t>
  </si>
  <si>
    <t>Net cash provided by financing activities</t>
  </si>
  <si>
    <t>NET CASH INCREASE FOR PERIOD</t>
  </si>
  <si>
    <t>Cash at beginning of period</t>
  </si>
  <si>
    <t>CASH AT END OF PERIOD</t>
  </si>
  <si>
    <t>Full name</t>
  </si>
  <si>
    <t>Total</t>
  </si>
  <si>
    <t>Accrual Basis Wednesday, November 05, 2025 10:42 PM GMTZ</t>
  </si>
  <si>
    <t>Accrual Basis Wednesday, November 05, 2025 10:41 PM GMTZ</t>
  </si>
  <si>
    <t>Payroll Liabilities</t>
  </si>
  <si>
    <t>Net Other Income</t>
  </si>
  <si>
    <t>Total for Other Expenses</t>
  </si>
  <si>
    <t>Total for Vehicle expenses</t>
  </si>
  <si>
    <t>Vehicle wash &amp; road services</t>
  </si>
  <si>
    <t>Vehicle expenses</t>
  </si>
  <si>
    <t>Other Expenses</t>
  </si>
  <si>
    <t>Total for Other Income</t>
  </si>
  <si>
    <t>Total for Other income</t>
  </si>
  <si>
    <t>Interest earned</t>
  </si>
  <si>
    <t>Early Pay Discounts</t>
  </si>
  <si>
    <t>Credit card rewards</t>
  </si>
  <si>
    <t>Other income</t>
  </si>
  <si>
    <t>Other Income</t>
  </si>
  <si>
    <t>Net Operating Income</t>
  </si>
  <si>
    <t>Total for Expenses</t>
  </si>
  <si>
    <t>Total for Utilities</t>
  </si>
  <si>
    <t>Natural Gas</t>
  </si>
  <si>
    <t>Internet &amp; TV services</t>
  </si>
  <si>
    <t>Disposal &amp; waste fees</t>
  </si>
  <si>
    <t>Utilities</t>
  </si>
  <si>
    <t>Uncategorized Expense</t>
  </si>
  <si>
    <t>Total for Travel</t>
  </si>
  <si>
    <t>Hotels</t>
  </si>
  <si>
    <t>Airfare</t>
  </si>
  <si>
    <t>Travel</t>
  </si>
  <si>
    <t>Repairs &amp; maintenance</t>
  </si>
  <si>
    <t>Total for Payroll expenses</t>
  </si>
  <si>
    <t>Wages</t>
  </si>
  <si>
    <t>Taxes</t>
  </si>
  <si>
    <t>Payroll expenses</t>
  </si>
  <si>
    <t>Total for Office expenses</t>
  </si>
  <si>
    <t>Software &amp; apps</t>
  </si>
  <si>
    <t>Shipping &amp; postage</t>
  </si>
  <si>
    <t>Office supplies</t>
  </si>
  <si>
    <t>Merchant account fees</t>
  </si>
  <si>
    <t>Office expenses</t>
  </si>
  <si>
    <t>Meals</t>
  </si>
  <si>
    <t>Total for Legal &amp; accounting services</t>
  </si>
  <si>
    <t>Accounting fees</t>
  </si>
  <si>
    <t>Legal &amp; accounting services</t>
  </si>
  <si>
    <t>Insurance</t>
  </si>
  <si>
    <t>Total for General business expenses</t>
  </si>
  <si>
    <t>Memberships &amp; subscriptions</t>
  </si>
  <si>
    <t>Bank fees &amp; service charges</t>
  </si>
  <si>
    <t>General business expenses</t>
  </si>
  <si>
    <t>Equipment rental</t>
  </si>
  <si>
    <t>Contract labor</t>
  </si>
  <si>
    <t>Business licences</t>
  </si>
  <si>
    <t>Building &amp; property rent</t>
  </si>
  <si>
    <t>Total for Advertising &amp; marketing</t>
  </si>
  <si>
    <t>Social media</t>
  </si>
  <si>
    <t>Advertising &amp; marketing</t>
  </si>
  <si>
    <t>Expenses</t>
  </si>
  <si>
    <t>Gross Profit</t>
  </si>
  <si>
    <t>Total for Cost of Goods Sold</t>
  </si>
  <si>
    <t>Total for Cost of goods sold</t>
  </si>
  <si>
    <t>Supplies &amp; materials</t>
  </si>
  <si>
    <t>Cost of Skincare Products</t>
  </si>
  <si>
    <t>Cost of goods sold</t>
  </si>
  <si>
    <t>Cost of Goods Sold</t>
  </si>
  <si>
    <t>Total for Income</t>
  </si>
  <si>
    <t>Services</t>
  </si>
  <si>
    <t>Sales of Product Income</t>
  </si>
  <si>
    <t>Reward programs</t>
  </si>
  <si>
    <t>Income</t>
  </si>
  <si>
    <t>September 2025</t>
  </si>
  <si>
    <t>August 2025</t>
  </si>
  <si>
    <t>July 2025</t>
  </si>
  <si>
    <t>June 2025</t>
  </si>
  <si>
    <t>May 2025</t>
  </si>
  <si>
    <t>April 2025</t>
  </si>
  <si>
    <t>March 2025</t>
  </si>
  <si>
    <t>February 2025</t>
  </si>
  <si>
    <t>January 2025</t>
  </si>
  <si>
    <t>Distribution account</t>
  </si>
  <si>
    <t>January 1-October 31, 2025</t>
  </si>
  <si>
    <t>Profit and Loss by Month</t>
  </si>
  <si>
    <t>Accrual Basis Wednesday, November 05, 2025 04:31 PM GMTZ</t>
  </si>
  <si>
    <t>Total for Liabilities and Equity</t>
  </si>
  <si>
    <t>Total for Equity</t>
  </si>
  <si>
    <t>Retained Earnings</t>
  </si>
  <si>
    <t>Owner draws</t>
  </si>
  <si>
    <t>Equity</t>
  </si>
  <si>
    <t>Total for Liabilities</t>
  </si>
  <si>
    <t>Long-term Liabilities</t>
  </si>
  <si>
    <t>Total for Current Liabilities</t>
  </si>
  <si>
    <t>Total for Other Current Liabilities</t>
  </si>
  <si>
    <t>Total for Payroll Liabilities</t>
  </si>
  <si>
    <t>GA Unemployment Tax</t>
  </si>
  <si>
    <t>GA Income Tax</t>
  </si>
  <si>
    <t>Federal Unemployment (940)</t>
  </si>
  <si>
    <t>Federal Taxes (941/943/944)</t>
  </si>
  <si>
    <t>Other Current Liabilities</t>
  </si>
  <si>
    <t>Total for Credit Cards</t>
  </si>
  <si>
    <t>Credit Cards</t>
  </si>
  <si>
    <t>Accounts Payable</t>
  </si>
  <si>
    <t>Current Liabilities</t>
  </si>
  <si>
    <t>Liabilities</t>
  </si>
  <si>
    <t>Liabilities and Equity</t>
  </si>
  <si>
    <t>Total for Assets</t>
  </si>
  <si>
    <t>Other Assets</t>
  </si>
  <si>
    <t>Total for Fixed Assets</t>
  </si>
  <si>
    <t>Total for Capitalized Leasehold Improvements</t>
  </si>
  <si>
    <t>Leasehold Improvement</t>
  </si>
  <si>
    <t>Accumulated Depreciation</t>
  </si>
  <si>
    <t>Capitalized Leasehold Improvements</t>
  </si>
  <si>
    <t>Fixed Assets</t>
  </si>
  <si>
    <t>Total for Current Assets</t>
  </si>
  <si>
    <t>Total for Other Current Assets</t>
  </si>
  <si>
    <t>Total for Inventory Asset</t>
  </si>
  <si>
    <t>Supplies and materials</t>
  </si>
  <si>
    <t>Skincare products</t>
  </si>
  <si>
    <t>Inventory Asset</t>
  </si>
  <si>
    <t>Total for Intangible Assets</t>
  </si>
  <si>
    <t>Lease Acquisition Costs</t>
  </si>
  <si>
    <t>Accumulated Amortization</t>
  </si>
  <si>
    <t>Intangible Assets</t>
  </si>
  <si>
    <t>Other Current Assets</t>
  </si>
  <si>
    <t>Accounts Receivable</t>
  </si>
  <si>
    <t>Total for Bank Accounts</t>
  </si>
  <si>
    <t>Checking - 0424</t>
  </si>
  <si>
    <t>Bank Accounts</t>
  </si>
  <si>
    <t>Current Assets</t>
  </si>
  <si>
    <t>Assets</t>
  </si>
  <si>
    <t>As of October 31, 2025</t>
  </si>
  <si>
    <t>Balance Sheet</t>
  </si>
  <si>
    <t>Wednesday, Nov 05, 2025 02:42:28 PM GMT-8 - Accrual Basis</t>
  </si>
  <si>
    <t xml:space="preserve">   </t>
  </si>
  <si>
    <t xml:space="preserve">   Total for Vehicle wash &amp; road services</t>
  </si>
  <si>
    <t xml:space="preserve">   Beginning Balance</t>
  </si>
  <si>
    <t xml:space="preserve">   Vehicle wash &amp; road services</t>
  </si>
  <si>
    <t xml:space="preserve">   Total for Interest earned</t>
  </si>
  <si>
    <t>Interest Deposit</t>
  </si>
  <si>
    <t>American Express</t>
  </si>
  <si>
    <t>No</t>
  </si>
  <si>
    <t>Deposit</t>
  </si>
  <si>
    <t>10/31/2025</t>
  </si>
  <si>
    <t xml:space="preserve">   Interest earned</t>
  </si>
  <si>
    <t xml:space="preserve">   Total for Early Pay Discounts</t>
  </si>
  <si>
    <t>EARLY PAY DISCOUNT XXXX6008</t>
  </si>
  <si>
    <t>Early Pay</t>
  </si>
  <si>
    <t>Credit Card Credit</t>
  </si>
  <si>
    <t>10/24/2025</t>
  </si>
  <si>
    <t xml:space="preserve">   Early Pay Discounts</t>
  </si>
  <si>
    <t xml:space="preserve">   Total for Credit card rewards</t>
  </si>
  <si>
    <t>YOUR CASH REWARD/REFUND IS XXXX2006</t>
  </si>
  <si>
    <t>Cash Reward</t>
  </si>
  <si>
    <t>10/22/2025</t>
  </si>
  <si>
    <t xml:space="preserve">   Credit card rewards</t>
  </si>
  <si>
    <t>Total for Utilities with sub-accounts</t>
  </si>
  <si>
    <t xml:space="preserve">   Total for Natural Gas</t>
  </si>
  <si>
    <t>SPI*GA NATGAS XX0000ATLANTA GA XXXX6008</t>
  </si>
  <si>
    <t>GA Natural Gas</t>
  </si>
  <si>
    <t>Expense</t>
  </si>
  <si>
    <t>10/09/2025</t>
  </si>
  <si>
    <t xml:space="preserve">   Natural Gas</t>
  </si>
  <si>
    <t xml:space="preserve">   Total for Internet &amp; TV services</t>
  </si>
  <si>
    <t>COMCAST BUSINESS MOBXXX-XXX-0206 PA XXXX6008</t>
  </si>
  <si>
    <t>Comcast</t>
  </si>
  <si>
    <t>GOOGLE *FIBER ZVJVGW G.CO/HELPPAY# CA XXXX2006</t>
  </si>
  <si>
    <t>Google Fiber</t>
  </si>
  <si>
    <t>10/13/2025</t>
  </si>
  <si>
    <t>COMCAST / XFINITY XXX-XXX-2278 GA XXXX6008</t>
  </si>
  <si>
    <t>10/02/2025</t>
  </si>
  <si>
    <t xml:space="preserve">   Internet &amp; TV services</t>
  </si>
  <si>
    <t xml:space="preserve">   Total for Disposal &amp; waste fees</t>
  </si>
  <si>
    <t xml:space="preserve">   Disposal &amp; waste fees</t>
  </si>
  <si>
    <t xml:space="preserve">   Total for Utilities</t>
  </si>
  <si>
    <t>Online Transfer / Payment: Debit to GPC - Skin Social</t>
  </si>
  <si>
    <t>Georgia Power</t>
  </si>
  <si>
    <t>10/21/2025</t>
  </si>
  <si>
    <t>Beginning Balance</t>
  </si>
  <si>
    <t>Total for Travel with sub-accounts</t>
  </si>
  <si>
    <t xml:space="preserve">   Total for Hotels</t>
  </si>
  <si>
    <t xml:space="preserve">   Hotels</t>
  </si>
  <si>
    <t xml:space="preserve">   Total for Airfare</t>
  </si>
  <si>
    <t>DELTA AIR LINES ATLANTA XXXX6008</t>
  </si>
  <si>
    <t>Delta Airlines</t>
  </si>
  <si>
    <t>10/25/2025</t>
  </si>
  <si>
    <t xml:space="preserve">   Airfare</t>
  </si>
  <si>
    <t xml:space="preserve">   Total for Travel</t>
  </si>
  <si>
    <t>X3580-ATLANTA AIRPORATLANTA GA XXXX6008</t>
  </si>
  <si>
    <t>Atlanta Airport</t>
  </si>
  <si>
    <t>Total for Repairs &amp; maintenance</t>
  </si>
  <si>
    <t xml:space="preserve">   Total for Wages</t>
  </si>
  <si>
    <t>Gross Pay - This is not a legal pay stub</t>
  </si>
  <si>
    <t>Katelyn R. Gammill</t>
  </si>
  <si>
    <t>DD</t>
  </si>
  <si>
    <t>Payroll Check</t>
  </si>
  <si>
    <t>Samantha Miguel-Mendoza</t>
  </si>
  <si>
    <t>Amanda Bailey</t>
  </si>
  <si>
    <t>Tae'Leesia Pritchard</t>
  </si>
  <si>
    <t>10/10/2025</t>
  </si>
  <si>
    <t xml:space="preserve">   Wages</t>
  </si>
  <si>
    <t xml:space="preserve">   Total for Taxes</t>
  </si>
  <si>
    <t>Employer Taxes</t>
  </si>
  <si>
    <t xml:space="preserve">   Taxes</t>
  </si>
  <si>
    <t>Total for Office expenses with sub-accounts</t>
  </si>
  <si>
    <t xml:space="preserve">   Total for Software &amp; apps</t>
  </si>
  <si>
    <t>ZAPIER.COM/CHARGE SAN FRANCISCO CA XXXX2006</t>
  </si>
  <si>
    <t>Zapier</t>
  </si>
  <si>
    <t>10/27/2025</t>
  </si>
  <si>
    <t>APPLE.COM/BILL INTERNET CHARGE CA XXXX6008</t>
  </si>
  <si>
    <t>Apple</t>
  </si>
  <si>
    <t>SPOTIFY USA</t>
  </si>
  <si>
    <t>Spotify</t>
  </si>
  <si>
    <t>10/23/2025</t>
  </si>
  <si>
    <t>INTUIT QUICKBOOKS XXX-XXX-8848 CA XXXX6008</t>
  </si>
  <si>
    <t>QuickBooks Payroll</t>
  </si>
  <si>
    <t>10/19/2025</t>
  </si>
  <si>
    <t>10/16/2025</t>
  </si>
  <si>
    <t>10/14/2025</t>
  </si>
  <si>
    <t>OPENAI *CHATGPT SUBSSAN FRANCISCO CA XXXX2006</t>
  </si>
  <si>
    <t>OpenAI Chatgpt</t>
  </si>
  <si>
    <t>10/05/2025</t>
  </si>
  <si>
    <t xml:space="preserve">   Software &amp; apps</t>
  </si>
  <si>
    <t xml:space="preserve">   Total for Shipping &amp; postage</t>
  </si>
  <si>
    <t>FedEx Office 0083 Plano TX XXXX6008</t>
  </si>
  <si>
    <t>FedEx</t>
  </si>
  <si>
    <t xml:space="preserve">   Shipping &amp; postage</t>
  </si>
  <si>
    <t xml:space="preserve">   Total for Office supplies</t>
  </si>
  <si>
    <t>READYREFRESH XXX-XXX-5282 MA XXXX6008</t>
  </si>
  <si>
    <t>Ready Refresh</t>
  </si>
  <si>
    <t>10/29/2025</t>
  </si>
  <si>
    <t xml:space="preserve">   Office supplies</t>
  </si>
  <si>
    <t xml:space="preserve">   Total for Merchant account fees</t>
  </si>
  <si>
    <t>VAGARO, INC PLEASANTON CA XXXX2006</t>
  </si>
  <si>
    <t>Vagaro</t>
  </si>
  <si>
    <t xml:space="preserve">   Merchant account fees</t>
  </si>
  <si>
    <t xml:space="preserve">   Total for Office expenses</t>
  </si>
  <si>
    <t>Total for Meals</t>
  </si>
  <si>
    <t>LPC-TRAN-XXX1003_THEATLANTA GA XXXX6008</t>
  </si>
  <si>
    <t>10/06/2025</t>
  </si>
  <si>
    <t xml:space="preserve">   Total for Accounting fees</t>
  </si>
  <si>
    <t>Online Transfer / Payment: Debit to ECB ADMINISTRATI - NATALIE FENNER</t>
  </si>
  <si>
    <t>ECB Administrative Services LLC</t>
  </si>
  <si>
    <t>10/15/2025</t>
  </si>
  <si>
    <t xml:space="preserve">   Accounting fees</t>
  </si>
  <si>
    <t>Total for Insurance</t>
  </si>
  <si>
    <t>Online Transfer / Payment: Debit to NEXT INSUR (AP I - NATALIE FENNER</t>
  </si>
  <si>
    <t>Next Insurance</t>
  </si>
  <si>
    <t>10/20/2025</t>
  </si>
  <si>
    <t xml:space="preserve">   Total for Memberships &amp; subscriptions</t>
  </si>
  <si>
    <t>ZIPRECRUITER SANTA MONICA CA XXXX6008</t>
  </si>
  <si>
    <t>Ziprecruiter</t>
  </si>
  <si>
    <t>INDEED JOBS AUSTIN TX XXXX6008</t>
  </si>
  <si>
    <t>Indeed</t>
  </si>
  <si>
    <t xml:space="preserve">   Memberships &amp; subscriptions</t>
  </si>
  <si>
    <t xml:space="preserve">   Total for Bank fees &amp; service charges</t>
  </si>
  <si>
    <t xml:space="preserve">   Bank fees &amp; service charges</t>
  </si>
  <si>
    <t>Total for Equipment rental</t>
  </si>
  <si>
    <t>Online Transfer / Payment: Debit to DEXT CAPITAL LLC - SKIN SOCIAL PLLC</t>
  </si>
  <si>
    <t>Dext Capital LLC</t>
  </si>
  <si>
    <t>10/08/2025</t>
  </si>
  <si>
    <t>Total for Contract labor</t>
  </si>
  <si>
    <t>IN *COLLABORATING DOARLINGTON VA XXXX6008</t>
  </si>
  <si>
    <t>Arlington Research Collaboration Center</t>
  </si>
  <si>
    <t>Total for Business licences</t>
  </si>
  <si>
    <t>Total for Building &amp; property rent</t>
  </si>
  <si>
    <t>Online Transfer / Payment: Debit to WELLS FARGO BANK, NA - NLA ARP Sandy Sprigs</t>
  </si>
  <si>
    <t>NLA ARP Sandy Springs, LLC</t>
  </si>
  <si>
    <t>Total for Advertising &amp; marketing with sub-accounts</t>
  </si>
  <si>
    <t xml:space="preserve">   Total for Social media</t>
  </si>
  <si>
    <t>GROUPON CHICAGO IL XXXX6008</t>
  </si>
  <si>
    <t>Groupon</t>
  </si>
  <si>
    <t>10/28/2025</t>
  </si>
  <si>
    <t>GOOGLE *GOOGLE ONE G.CO/HELPPAY# CA XXXX2006</t>
  </si>
  <si>
    <t>Google</t>
  </si>
  <si>
    <t>FACEBK *XHFZXXZXXX XXX-XXX-7818 CA XXXX6008</t>
  </si>
  <si>
    <t>Facebook</t>
  </si>
  <si>
    <t>10/17/2025</t>
  </si>
  <si>
    <t>FACEBK *WWCWPZYXXX XXX-XXX-7818 CA XXXX6008</t>
  </si>
  <si>
    <t>10/12/2025</t>
  </si>
  <si>
    <t>FACEBK *PPHTJZXXXX XXX-XXX-7818 CA XXXX6008</t>
  </si>
  <si>
    <t>10/11/2025</t>
  </si>
  <si>
    <t>FACEBK *QDXBMZCXXX XXX-XXX-7818 CA XXXX6008</t>
  </si>
  <si>
    <t>FACEBK *GXUREZYXXX XXX-XXX-7818 CA XXXX6008</t>
  </si>
  <si>
    <t>FACEBK *HHZXPZXXXX XXX-XXX-7818 CA XXXX6008</t>
  </si>
  <si>
    <t>FACEBK *LSUZWYGXXX XXX-XXX-7818 CA XXXX6008</t>
  </si>
  <si>
    <t>FACEBK *FXFBWYGXXX XXX-XXX-7818 CA XXXX6008</t>
  </si>
  <si>
    <t>FACEBK *XXXBAZYXXX XXX-XXX-7818 CA XXXX6008</t>
  </si>
  <si>
    <t>FACEBK *CXXTXZXXXX XXX-XXX-7818 CA XXXX6008</t>
  </si>
  <si>
    <t>FACEBK *YXXNXZYXXX XXX-XXX-7818 CA XXXX6008</t>
  </si>
  <si>
    <t>FACEBK *9NXAXYLU92 MENLO PARK XXXX6008</t>
  </si>
  <si>
    <t>GOOGLE *YOUTUBEPREMI G.CO/HELPPAY# CA XXXX6008</t>
  </si>
  <si>
    <t>GOOGLE *INSTAGRAM G.CO/HELPPAY# CA XXXX6008</t>
  </si>
  <si>
    <t>GOOGLE *GSUITE_SKINSCC@GOOGLE.COM CA XXXX6008</t>
  </si>
  <si>
    <t>10/01/2025</t>
  </si>
  <si>
    <t xml:space="preserve">   Social media</t>
  </si>
  <si>
    <t xml:space="preserve">   Total for Advertising &amp; marketing</t>
  </si>
  <si>
    <t>Online Transfer / Payment: Debit to PLASTIXMARKETING - FENNER</t>
  </si>
  <si>
    <t>Plastix Marketing</t>
  </si>
  <si>
    <t>SOCAL NEWSPAPER GRP MONROVIA CA XXXX2006</t>
  </si>
  <si>
    <t>SoCal Newspaper Group</t>
  </si>
  <si>
    <t>CANVA* IXXXXX-XX9867CAMDEN DE XXXX6008</t>
  </si>
  <si>
    <t>Canva US Inc.</t>
  </si>
  <si>
    <t>PLASTIX MARKETING GREENVILLE SC XXXX6008</t>
  </si>
  <si>
    <t>10/03/2025</t>
  </si>
  <si>
    <t xml:space="preserve">   Total for Supplies &amp; materials</t>
  </si>
  <si>
    <t>AESTHETIX GREENVILLE SC XXXX6008 AESTHETIX GREENVILLE SC XXXX6008</t>
  </si>
  <si>
    <t>Aesthetix</t>
  </si>
  <si>
    <t>AMAZON.COM AMZN.COM/BILL WA XXXX6008</t>
  </si>
  <si>
    <t>Amazon</t>
  </si>
  <si>
    <t>10/30/2025</t>
  </si>
  <si>
    <t>AMAZON MARKETPLACE NAMZN.COM/BILL WA XXXX6008</t>
  </si>
  <si>
    <t>10/26/2025</t>
  </si>
  <si>
    <t>EPICUTIS MONMOUTH JUNCTION NJ XXXX6008</t>
  </si>
  <si>
    <t>Epicutis</t>
  </si>
  <si>
    <t>AESTHETIX GREENVILLE SC XXXX6008</t>
  </si>
  <si>
    <t>AMPGROWTH.NET CORDOVA TN XXXX6008</t>
  </si>
  <si>
    <t>AMP-Aesthetic Management Partners, Inc.</t>
  </si>
  <si>
    <t>MCKESSON SPECIALTY CIRVING TX XXXX6008</t>
  </si>
  <si>
    <t>McKesson Medical Surgical</t>
  </si>
  <si>
    <t>OLYMPIA PHARMACEUTICORLANDO FL XXXX6008</t>
  </si>
  <si>
    <t>Olympia Pharmaceuticals</t>
  </si>
  <si>
    <t>MCKESSON MEDICAL SURHENRICO VA XXXX6008</t>
  </si>
  <si>
    <t>HYDRAFACIAL LLC LONG BEACH CA XXXX6008</t>
  </si>
  <si>
    <t>Hydrafacial LLC</t>
  </si>
  <si>
    <t>ALLERGAN XXX-XXX-4148 CA XXXX2006</t>
  </si>
  <si>
    <t>Allergan</t>
  </si>
  <si>
    <t>Amazon Prime Amazon.com WA XXXX6008</t>
  </si>
  <si>
    <t>REVANCE THERAPEUTICSNASHVILLE TN XXXX6008</t>
  </si>
  <si>
    <t>Revance Therapeutics</t>
  </si>
  <si>
    <t>SP THERABODY USA LOS ANGELES CA XXXX2006</t>
  </si>
  <si>
    <t>Therabody Usa</t>
  </si>
  <si>
    <t xml:space="preserve">   Supplies &amp; materials</t>
  </si>
  <si>
    <t xml:space="preserve">   Total for Cost of Skincare Products</t>
  </si>
  <si>
    <t>ZO SKIN HEALTH INC IRVINE CA XXXX6008</t>
  </si>
  <si>
    <t>ZO Skin Health Inc.</t>
  </si>
  <si>
    <t>STRIVE PHARMACY 0000GILBERT AZ XXXX6008</t>
  </si>
  <si>
    <t>Strive Pharmacy</t>
  </si>
  <si>
    <t xml:space="preserve">   Cost of Skincare Products</t>
  </si>
  <si>
    <t>Total for Services</t>
  </si>
  <si>
    <t>-Split-</t>
  </si>
  <si>
    <t>Journal Entry</t>
  </si>
  <si>
    <t>Sales tax</t>
  </si>
  <si>
    <t>Online Transfer / Payment: Credit from 5/3 BANKCARD SYS - BLVD *SKIN SOCIAL</t>
  </si>
  <si>
    <t>Online Transfer / Payment: Credit from Vagaro Merchant - Skin Social</t>
  </si>
  <si>
    <t>Online Transfer / Payment: Credit from Cherry - SkinSocial</t>
  </si>
  <si>
    <t>Online Transfer / Payment: Credit from SYNCHRONY BANK - SKIN SOCIAL</t>
  </si>
  <si>
    <t>Online Transfer / Payment: Credit from GRPN MERCH SVCS - Skin Social</t>
  </si>
  <si>
    <t>Online Transfer / Payment: Credit from PatientFi Inc - Skin Social Medspa</t>
  </si>
  <si>
    <t>Online Transfer / Payment: Credit from Cherry - Skin Social</t>
  </si>
  <si>
    <t>Online Transfer / Payment: Credit from ClassPass Inc. - Skin Social</t>
  </si>
  <si>
    <t>10/07/2025</t>
  </si>
  <si>
    <t>Total for Sales of Product Income</t>
  </si>
  <si>
    <t>Total for Reward programs</t>
  </si>
  <si>
    <t>Online Transfer / Payment: Credit from GALDERMA ASPIRE - SKIN SOCIAL</t>
  </si>
  <si>
    <t>Galderma Aspire</t>
  </si>
  <si>
    <t>Online Transfer / Payment: Credit from Merz North Ameri - Skin Social PLLC</t>
  </si>
  <si>
    <t>Merz North America Greensboro NC</t>
  </si>
  <si>
    <t>Online Transfer / Payment: Credit from Alle (Allergan L - SKIN SOCIAL PLLC</t>
  </si>
  <si>
    <t>Alle by Allergan</t>
  </si>
  <si>
    <t>Total for Retained Earnings</t>
  </si>
  <si>
    <t>Total for Personal healthcare</t>
  </si>
  <si>
    <t>UNITED HEALTH ONE INDIANAPOLIS IN XXXX2006</t>
  </si>
  <si>
    <t>United Health One</t>
  </si>
  <si>
    <t>Total for Personal expenses</t>
  </si>
  <si>
    <t>Online Transfer / Payment: Debit to AMEX EPAYMENT - Skin Social</t>
  </si>
  <si>
    <t>LifeTimeFitness.COM XXX-XXX-6432 MN XXXX2006</t>
  </si>
  <si>
    <t>Lifetime Fitness</t>
  </si>
  <si>
    <t>Total for Owner investments</t>
  </si>
  <si>
    <t>To record correction for tax refund for the Q3 2024 period</t>
  </si>
  <si>
    <t>Total for Owner draws</t>
  </si>
  <si>
    <t>Total for Sales tax to pay</t>
  </si>
  <si>
    <t>Online Transfer / Payment: Debit to GEORGIA ITS TAX - SKIN SOCIAL</t>
  </si>
  <si>
    <t>Georgia Department of Revenue</t>
  </si>
  <si>
    <t xml:space="preserve">   Total for GA Unemployment Tax</t>
  </si>
  <si>
    <t>Georgia Department of Labor</t>
  </si>
  <si>
    <t>Tax Payment</t>
  </si>
  <si>
    <t>Payroll Adjustment</t>
  </si>
  <si>
    <t>Online Transfer / Payment: Debit to GA DEPT OF LABOR - SKIN SOCIAL - note: this appears to be an extra payment for GA Unemployment</t>
  </si>
  <si>
    <t xml:space="preserve">   GA Unemployment Tax</t>
  </si>
  <si>
    <t xml:space="preserve">   Total for GA Income Tax</t>
  </si>
  <si>
    <t xml:space="preserve">   GA Income Tax</t>
  </si>
  <si>
    <t xml:space="preserve">   Total for Federal Unemployment (940)</t>
  </si>
  <si>
    <t xml:space="preserve">   Federal Unemployment (940)</t>
  </si>
  <si>
    <t xml:space="preserve">   Total for Federal Taxes (941/943/944)</t>
  </si>
  <si>
    <t xml:space="preserve">   Federal Taxes (941/943/944)</t>
  </si>
  <si>
    <t>Total for Direct Deposit Payable</t>
  </si>
  <si>
    <t>Pay Period: 10/04/2025-10/17/2025</t>
  </si>
  <si>
    <t>Direct Deposit</t>
  </si>
  <si>
    <t>Pay Period: 10/04/2025-10/17/2025 Leads: K.S., J.B</t>
  </si>
  <si>
    <t>Pay Period: 09/20/2025-10/03/2025 Leads- S.F, M.C.,
Monthly Bonus- $200</t>
  </si>
  <si>
    <t>Pay Period: 09/20/2025-10/03/2025 Bonus- $563</t>
  </si>
  <si>
    <t>Pay Period: 09/20/2025-10/03/2025</t>
  </si>
  <si>
    <t>Total for Plum Card - 94003</t>
  </si>
  <si>
    <t>Cost of goods sold:Supplies &amp; materials</t>
  </si>
  <si>
    <t>Office expenses:Office supplies</t>
  </si>
  <si>
    <t>Advertising &amp; marketing:Social media</t>
  </si>
  <si>
    <t>MOBILE PAYMENT - THANK YOU XXXX6008</t>
  </si>
  <si>
    <t>Credit Card Payment</t>
  </si>
  <si>
    <t>Cost of goods sold:Cost of Skincare Products</t>
  </si>
  <si>
    <t>Office expenses:Software &amp; apps</t>
  </si>
  <si>
    <t>Travel:Airfare</t>
  </si>
  <si>
    <t>Utilities:Internet &amp; TV services</t>
  </si>
  <si>
    <t>Other income:Early Pay Discounts</t>
  </si>
  <si>
    <t>General business expenses:Memberships &amp; subscriptions</t>
  </si>
  <si>
    <t>Office expenses:Shipping &amp; postage</t>
  </si>
  <si>
    <t>Utilities:Natural Gas</t>
  </si>
  <si>
    <t>Total for Blue Business Cash Card - 91008</t>
  </si>
  <si>
    <t>Other income:Credit card rewards</t>
  </si>
  <si>
    <t>MOBILE PAYMENT - THANK YOU XXXX2006</t>
  </si>
  <si>
    <t>Office expenses:Merchant account fees</t>
  </si>
  <si>
    <t xml:space="preserve">   Total for Leasehold Improvement</t>
  </si>
  <si>
    <t xml:space="preserve">   Leasehold Improvement</t>
  </si>
  <si>
    <t xml:space="preserve">   Total for Accumulated Depreciation</t>
  </si>
  <si>
    <t xml:space="preserve">   Accumulated Depreciation</t>
  </si>
  <si>
    <t>Total for QuickBooks Tax Holding Account</t>
  </si>
  <si>
    <t>Tax Payment for Period: 07/01/2025-09/30/2025</t>
  </si>
  <si>
    <t>Tax withdrawal</t>
  </si>
  <si>
    <t>Tax overpayment credit refund</t>
  </si>
  <si>
    <t>Payroll Refund</t>
  </si>
  <si>
    <t>Holding account setup</t>
  </si>
  <si>
    <t xml:space="preserve">   Total for Supplies and materials</t>
  </si>
  <si>
    <t xml:space="preserve">   Supplies and materials</t>
  </si>
  <si>
    <t xml:space="preserve">   Total for Skincare products</t>
  </si>
  <si>
    <t xml:space="preserve">   Skincare products</t>
  </si>
  <si>
    <t xml:space="preserve">   Total for Lease Acquisition Costs</t>
  </si>
  <si>
    <t xml:space="preserve">   Lease Acquisition Costs</t>
  </si>
  <si>
    <t xml:space="preserve">   Total for Accumulated Amortization</t>
  </si>
  <si>
    <t xml:space="preserve">   Accumulated Amortization</t>
  </si>
  <si>
    <t>Total for Checking - 0424</t>
  </si>
  <si>
    <t>Other income:Interest earned</t>
  </si>
  <si>
    <t>Legal &amp; accounting services:Accounting fees</t>
  </si>
  <si>
    <t>Online Transfer / Payment: Debit to GA DEPT OF LABOR - SKIN SOCIAL</t>
  </si>
  <si>
    <t>Balance</t>
  </si>
  <si>
    <t>Amount</t>
  </si>
  <si>
    <t>Split</t>
  </si>
  <si>
    <t>Memo/Description</t>
  </si>
  <si>
    <t>Name</t>
  </si>
  <si>
    <t>Adj</t>
  </si>
  <si>
    <t>Num</t>
  </si>
  <si>
    <t>Transaction Type</t>
  </si>
  <si>
    <t>Date</t>
  </si>
  <si>
    <t>General Ledger</t>
  </si>
  <si>
    <t>Accrual Basis Wednesday, November 05, 2025 04:34 PM GMTZ</t>
  </si>
  <si>
    <t>Profit and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</si>
</sst>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&quot;$&quot;* #,##0.00\ _€"/>
    <numFmt numFmtId="166" formatCode="#,##0.00\ _€"/>
  </numFmts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indexed="8"/>
      <name val="Calibri"/>
      <family val="2"/>
      <scheme val="minor"/>
    </font>
    <font>
      <sz val="8"/>
      <color indexed="8"/>
      <name val="Arial"/>
    </font>
    <font>
      <b/>
      <sz val="8"/>
      <color indexed="8"/>
      <name val="Arial"/>
    </font>
    <font>
      <b/>
      <sz val="9"/>
      <color indexed="8"/>
      <name val="Arial"/>
    </font>
    <font>
      <b/>
      <sz val="10"/>
      <color indexed="8"/>
      <name val="Arial"/>
    </font>
    <font>
      <b/>
      <sz val="14"/>
      <color indexed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1"/>
    <xf numFmtId="0" fontId="1" fillId="0" borderId="0"/>
    <xf numFmtId="0" fontId="1" fillId="0" borderId="2"/>
    <xf numFmtId="0" fontId="8" fillId="0" borderId="0"/>
  </cellStyleXfs>
  <cellXfs count="36">
    <xf numFmtId="0" fontId="0" fillId="0" borderId="0" xfId="0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164" fontId="3" fillId="0" borderId="2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164" fontId="3" fillId="0" borderId="3" xfId="0" applyNumberFormat="1" applyFont="1" applyBorder="1" applyAlignment="1">
      <alignment wrapText="1"/>
    </xf>
    <xf numFmtId="4" fontId="3" fillId="0" borderId="2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2" fillId="0" borderId="0" xfId="0" applyFont="1" applyAlignment="1">
      <alignment horizontal="left" wrapText="1" indent="4"/>
    </xf>
    <xf numFmtId="0" fontId="3" fillId="0" borderId="0" xfId="0" applyFont="1" applyAlignment="1">
      <alignment horizontal="left" wrapText="1" indent="4"/>
    </xf>
    <xf numFmtId="0" fontId="2" fillId="0" borderId="0" xfId="0" applyFont="1" applyAlignment="1">
      <alignment horizontal="left" wrapText="1" indent="5"/>
    </xf>
    <xf numFmtId="0" fontId="2" fillId="0" borderId="0" xfId="0" applyFont="1" applyAlignment="1">
      <alignment horizontal="left" wrapText="1" indent="3"/>
    </xf>
    <xf numFmtId="0" fontId="8" fillId="0" borderId="0" xfId="4"/>
    <xf numFmtId="0" fontId="8" fillId="0" borderId="0" xfId="4"/>
    <xf numFmtId="0" fontId="9" fillId="0" borderId="0" xfId="4" applyFont="1" applyAlignment="1">
      <alignment horizontal="center"/>
    </xf>
    <xf numFmtId="165" fontId="10" fillId="0" borderId="2" xfId="4" applyNumberFormat="1" applyFont="1" applyBorder="1" applyAlignment="1">
      <alignment horizontal="right" wrapText="1"/>
    </xf>
    <xf numFmtId="0" fontId="10" fillId="0" borderId="0" xfId="4" applyFont="1" applyAlignment="1">
      <alignment horizontal="left" wrapText="1"/>
    </xf>
    <xf numFmtId="166" fontId="9" fillId="0" borderId="0" xfId="4" applyNumberFormat="1" applyFont="1" applyAlignment="1">
      <alignment horizontal="right" wrapText="1"/>
    </xf>
    <xf numFmtId="0" fontId="9" fillId="0" borderId="0" xfId="4" applyFont="1" applyAlignment="1">
      <alignment horizontal="left" wrapText="1"/>
    </xf>
    <xf numFmtId="0" fontId="9" fillId="0" borderId="0" xfId="4" quotePrefix="1" applyFont="1" applyAlignment="1">
      <alignment horizontal="left" wrapText="1"/>
    </xf>
    <xf numFmtId="0" fontId="11" fillId="0" borderId="1" xfId="4" applyFont="1" applyBorder="1" applyAlignment="1">
      <alignment horizontal="center" wrapText="1"/>
    </xf>
    <xf numFmtId="0" fontId="12" fillId="0" borderId="0" xfId="4" applyFont="1" applyAlignment="1">
      <alignment horizontal="center"/>
    </xf>
    <xf numFmtId="0" fontId="13" fillId="0" borderId="0" xfId="4" applyFont="1" applyAlignment="1">
      <alignment horizontal="center"/>
    </xf>
  </cellXfs>
  <cellStyles count="5">
    <cellStyle name="GroupedCellStyle" xfId="2" xr:uid="{00000000-0005-0000-0000-000007000000}"/>
    <cellStyle name="HeaderCellStyle" xfId="1" xr:uid="{00000000-0005-0000-0000-000006000000}"/>
    <cellStyle name="Normal" xfId="0" builtinId="0"/>
    <cellStyle name="Normal 2" xfId="4" xr:uid="{C2A72C87-FADA-48A7-BA74-5981A58F7140}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C069-8FC4-434A-A770-13B734BDAA0B}">
  <dimension ref="A1:B65"/>
  <sheetViews>
    <sheetView tabSelected="1" workbookViewId="0">
      <selection sqref="A1:B1"/>
    </sheetView>
  </sheetViews>
  <sheetFormatPr defaultColWidth="11.25" defaultRowHeight="15.75" outlineLevelRow="5" x14ac:dyDescent="0.25"/>
  <cols>
    <col min="1" max="1" width="38.5" style="11" customWidth="1"/>
    <col min="2" max="2" width="17" style="11" customWidth="1"/>
  </cols>
  <sheetData>
    <row r="1" spans="1:2" x14ac:dyDescent="0.25">
      <c r="A1" s="5" t="s">
        <v>156</v>
      </c>
      <c r="B1" s="4"/>
    </row>
    <row r="2" spans="1:2" x14ac:dyDescent="0.25">
      <c r="A2" s="3" t="s">
        <v>1</v>
      </c>
      <c r="B2" s="4"/>
    </row>
    <row r="3" spans="1:2" x14ac:dyDescent="0.25">
      <c r="A3" s="2" t="s">
        <v>155</v>
      </c>
      <c r="B3" s="4"/>
    </row>
    <row r="5" spans="1:2" x14ac:dyDescent="0.25">
      <c r="A5" s="12" t="s">
        <v>105</v>
      </c>
      <c r="B5" s="12" t="s">
        <v>27</v>
      </c>
    </row>
    <row r="6" spans="1:2" x14ac:dyDescent="0.25">
      <c r="A6" s="6" t="s">
        <v>154</v>
      </c>
    </row>
    <row r="7" spans="1:2" outlineLevel="1" x14ac:dyDescent="0.25">
      <c r="A7" s="7" t="s">
        <v>153</v>
      </c>
    </row>
    <row r="8" spans="1:2" outlineLevel="2" x14ac:dyDescent="0.25">
      <c r="A8" s="8" t="s">
        <v>152</v>
      </c>
    </row>
    <row r="9" spans="1:2" outlineLevel="3" x14ac:dyDescent="0.25">
      <c r="A9" s="24" t="s">
        <v>151</v>
      </c>
      <c r="B9" s="13">
        <v>43035.05</v>
      </c>
    </row>
    <row r="10" spans="1:2" outlineLevel="2" x14ac:dyDescent="0.25">
      <c r="A10" s="19" t="s">
        <v>150</v>
      </c>
      <c r="B10" s="14">
        <f>B8+B9</f>
        <v>43035.05</v>
      </c>
    </row>
    <row r="11" spans="1:2" outlineLevel="2" x14ac:dyDescent="0.25">
      <c r="A11" s="8" t="s">
        <v>149</v>
      </c>
      <c r="B11" s="15"/>
    </row>
    <row r="12" spans="1:2" outlineLevel="2" x14ac:dyDescent="0.25">
      <c r="A12" s="8" t="s">
        <v>148</v>
      </c>
    </row>
    <row r="13" spans="1:2" outlineLevel="3" x14ac:dyDescent="0.25">
      <c r="A13" s="24" t="s">
        <v>147</v>
      </c>
      <c r="B13" s="15"/>
    </row>
    <row r="14" spans="1:2" outlineLevel="4" x14ac:dyDescent="0.25">
      <c r="A14" s="21" t="s">
        <v>146</v>
      </c>
      <c r="B14" s="13">
        <v>-25263.16</v>
      </c>
    </row>
    <row r="15" spans="1:2" outlineLevel="4" x14ac:dyDescent="0.25">
      <c r="A15" s="21" t="s">
        <v>145</v>
      </c>
      <c r="B15" s="13">
        <v>80000</v>
      </c>
    </row>
    <row r="16" spans="1:2" outlineLevel="3" x14ac:dyDescent="0.25">
      <c r="A16" s="20" t="s">
        <v>144</v>
      </c>
      <c r="B16" s="14">
        <f>B13+B14+B15</f>
        <v>54736.84</v>
      </c>
    </row>
    <row r="17" spans="1:2" outlineLevel="3" x14ac:dyDescent="0.25">
      <c r="A17" s="24" t="s">
        <v>143</v>
      </c>
      <c r="B17" s="15"/>
    </row>
    <row r="18" spans="1:2" outlineLevel="4" x14ac:dyDescent="0.25">
      <c r="A18" s="21" t="s">
        <v>142</v>
      </c>
      <c r="B18" s="13">
        <v>15772.74</v>
      </c>
    </row>
    <row r="19" spans="1:2" outlineLevel="4" x14ac:dyDescent="0.25">
      <c r="A19" s="21" t="s">
        <v>141</v>
      </c>
      <c r="B19" s="13">
        <v>17036.07</v>
      </c>
    </row>
    <row r="20" spans="1:2" outlineLevel="3" x14ac:dyDescent="0.25">
      <c r="A20" s="20" t="s">
        <v>140</v>
      </c>
      <c r="B20" s="14">
        <f>B17+B18+B19</f>
        <v>32808.81</v>
      </c>
    </row>
    <row r="21" spans="1:2" outlineLevel="3" x14ac:dyDescent="0.25">
      <c r="A21" s="24" t="s">
        <v>13</v>
      </c>
      <c r="B21" s="13">
        <v>3406.57</v>
      </c>
    </row>
    <row r="22" spans="1:2" outlineLevel="2" x14ac:dyDescent="0.25">
      <c r="A22" s="19" t="s">
        <v>139</v>
      </c>
      <c r="B22" s="14">
        <f>B12+B16+B20+B21</f>
        <v>90952.22</v>
      </c>
    </row>
    <row r="23" spans="1:2" outlineLevel="1" x14ac:dyDescent="0.25">
      <c r="A23" s="9" t="s">
        <v>138</v>
      </c>
      <c r="B23" s="14">
        <f>B7+B10+B11+B22</f>
        <v>133987.27000000002</v>
      </c>
    </row>
    <row r="24" spans="1:2" outlineLevel="1" x14ac:dyDescent="0.25">
      <c r="A24" s="7" t="s">
        <v>137</v>
      </c>
    </row>
    <row r="25" spans="1:2" outlineLevel="2" x14ac:dyDescent="0.25">
      <c r="A25" s="8" t="s">
        <v>136</v>
      </c>
      <c r="B25" s="15"/>
    </row>
    <row r="26" spans="1:2" outlineLevel="3" x14ac:dyDescent="0.25">
      <c r="A26" s="24" t="s">
        <v>135</v>
      </c>
      <c r="B26" s="13">
        <v>-16864.419999999998</v>
      </c>
    </row>
    <row r="27" spans="1:2" outlineLevel="3" x14ac:dyDescent="0.25">
      <c r="A27" s="24" t="s">
        <v>134</v>
      </c>
      <c r="B27" s="13">
        <v>53404</v>
      </c>
    </row>
    <row r="28" spans="1:2" outlineLevel="2" x14ac:dyDescent="0.25">
      <c r="A28" s="19" t="s">
        <v>133</v>
      </c>
      <c r="B28" s="14">
        <f>B25+B26+B27</f>
        <v>36539.58</v>
      </c>
    </row>
    <row r="29" spans="1:2" outlineLevel="1" x14ac:dyDescent="0.25">
      <c r="A29" s="9" t="s">
        <v>132</v>
      </c>
      <c r="B29" s="14">
        <f>B24+B28</f>
        <v>36539.58</v>
      </c>
    </row>
    <row r="30" spans="1:2" outlineLevel="1" x14ac:dyDescent="0.25">
      <c r="A30" s="7" t="s">
        <v>131</v>
      </c>
      <c r="B30" s="15"/>
    </row>
    <row r="31" spans="1:2" x14ac:dyDescent="0.25">
      <c r="A31" s="10" t="s">
        <v>130</v>
      </c>
      <c r="B31" s="14">
        <f>B23+B29+B30</f>
        <v>170526.85000000003</v>
      </c>
    </row>
    <row r="32" spans="1:2" x14ac:dyDescent="0.25">
      <c r="A32" s="6" t="s">
        <v>129</v>
      </c>
    </row>
    <row r="33" spans="1:2" outlineLevel="1" x14ac:dyDescent="0.25">
      <c r="A33" s="7" t="s">
        <v>128</v>
      </c>
    </row>
    <row r="34" spans="1:2" outlineLevel="2" x14ac:dyDescent="0.25">
      <c r="A34" s="8" t="s">
        <v>127</v>
      </c>
    </row>
    <row r="35" spans="1:2" outlineLevel="3" x14ac:dyDescent="0.25">
      <c r="A35" s="24" t="s">
        <v>126</v>
      </c>
      <c r="B35" s="15"/>
    </row>
    <row r="36" spans="1:2" outlineLevel="3" x14ac:dyDescent="0.25">
      <c r="A36" s="24" t="s">
        <v>125</v>
      </c>
    </row>
    <row r="37" spans="1:2" outlineLevel="4" x14ac:dyDescent="0.25">
      <c r="A37" s="21" t="s">
        <v>6</v>
      </c>
      <c r="B37" s="13">
        <v>-22.74</v>
      </c>
    </row>
    <row r="38" spans="1:2" outlineLevel="4" x14ac:dyDescent="0.25">
      <c r="A38" s="21" t="s">
        <v>12</v>
      </c>
      <c r="B38" s="13">
        <v>17983.55</v>
      </c>
    </row>
    <row r="39" spans="1:2" outlineLevel="3" x14ac:dyDescent="0.25">
      <c r="A39" s="20" t="s">
        <v>124</v>
      </c>
      <c r="B39" s="14">
        <f>B36+B37+B38</f>
        <v>17960.809999999998</v>
      </c>
    </row>
    <row r="40" spans="1:2" outlineLevel="3" x14ac:dyDescent="0.25">
      <c r="A40" s="24" t="s">
        <v>123</v>
      </c>
    </row>
    <row r="41" spans="1:2" outlineLevel="4" x14ac:dyDescent="0.25">
      <c r="A41" s="21" t="s">
        <v>7</v>
      </c>
      <c r="B41" s="13">
        <v>0</v>
      </c>
    </row>
    <row r="42" spans="1:2" outlineLevel="4" x14ac:dyDescent="0.25">
      <c r="A42" s="21" t="s">
        <v>30</v>
      </c>
      <c r="B42" s="13">
        <v>0</v>
      </c>
    </row>
    <row r="43" spans="1:2" outlineLevel="5" x14ac:dyDescent="0.25">
      <c r="A43" s="23" t="s">
        <v>122</v>
      </c>
      <c r="B43" s="13">
        <v>2681.82</v>
      </c>
    </row>
    <row r="44" spans="1:2" outlineLevel="5" x14ac:dyDescent="0.25">
      <c r="A44" s="23" t="s">
        <v>121</v>
      </c>
      <c r="B44" s="13">
        <v>168</v>
      </c>
    </row>
    <row r="45" spans="1:2" outlineLevel="5" x14ac:dyDescent="0.25">
      <c r="A45" s="23" t="s">
        <v>120</v>
      </c>
      <c r="B45" s="13">
        <v>311.83999999999997</v>
      </c>
    </row>
    <row r="46" spans="1:2" outlineLevel="5" x14ac:dyDescent="0.25">
      <c r="A46" s="23" t="s">
        <v>119</v>
      </c>
      <c r="B46" s="13">
        <v>-144.22999999999999</v>
      </c>
    </row>
    <row r="47" spans="1:2" outlineLevel="4" x14ac:dyDescent="0.25">
      <c r="A47" s="22" t="s">
        <v>118</v>
      </c>
      <c r="B47" s="14">
        <f>B42+B43+B44+B45+B46</f>
        <v>3017.4300000000003</v>
      </c>
    </row>
    <row r="48" spans="1:2" outlineLevel="4" x14ac:dyDescent="0.25">
      <c r="A48" s="21" t="s">
        <v>14</v>
      </c>
      <c r="B48" s="13">
        <v>318.81</v>
      </c>
    </row>
    <row r="49" spans="1:2" outlineLevel="3" x14ac:dyDescent="0.25">
      <c r="A49" s="20" t="s">
        <v>117</v>
      </c>
      <c r="B49" s="14">
        <f>B40+B41+B47+B48</f>
        <v>3336.2400000000002</v>
      </c>
    </row>
    <row r="50" spans="1:2" outlineLevel="2" x14ac:dyDescent="0.25">
      <c r="A50" s="19" t="s">
        <v>116</v>
      </c>
      <c r="B50" s="14">
        <f>B34+B35+B39+B49</f>
        <v>21297.05</v>
      </c>
    </row>
    <row r="51" spans="1:2" outlineLevel="2" x14ac:dyDescent="0.25">
      <c r="A51" s="8" t="s">
        <v>115</v>
      </c>
      <c r="B51" s="15"/>
    </row>
    <row r="52" spans="1:2" outlineLevel="1" x14ac:dyDescent="0.25">
      <c r="A52" s="9" t="s">
        <v>114</v>
      </c>
      <c r="B52" s="14">
        <f>B33+B50+B51</f>
        <v>21297.05</v>
      </c>
    </row>
    <row r="53" spans="1:2" outlineLevel="1" x14ac:dyDescent="0.25">
      <c r="A53" s="7" t="s">
        <v>113</v>
      </c>
    </row>
    <row r="54" spans="1:2" outlineLevel="2" x14ac:dyDescent="0.25">
      <c r="A54" s="8" t="s">
        <v>112</v>
      </c>
      <c r="B54" s="13">
        <v>-2000</v>
      </c>
    </row>
    <row r="55" spans="1:2" outlineLevel="2" x14ac:dyDescent="0.25">
      <c r="A55" s="8" t="s">
        <v>19</v>
      </c>
      <c r="B55" s="13">
        <v>161057.16</v>
      </c>
    </row>
    <row r="56" spans="1:2" outlineLevel="2" x14ac:dyDescent="0.25">
      <c r="A56" s="8" t="s">
        <v>20</v>
      </c>
      <c r="B56" s="13">
        <v>-62427.89</v>
      </c>
    </row>
    <row r="57" spans="1:2" outlineLevel="2" x14ac:dyDescent="0.25">
      <c r="A57" s="8" t="s">
        <v>21</v>
      </c>
      <c r="B57" s="13">
        <v>-844.28</v>
      </c>
    </row>
    <row r="58" spans="1:2" outlineLevel="2" x14ac:dyDescent="0.25">
      <c r="A58" s="8" t="s">
        <v>111</v>
      </c>
      <c r="B58" s="13">
        <v>-13078.649999999983</v>
      </c>
    </row>
    <row r="59" spans="1:2" outlineLevel="2" x14ac:dyDescent="0.25">
      <c r="A59" s="8" t="s">
        <v>4</v>
      </c>
      <c r="B59" s="13">
        <v>66523.460000000181</v>
      </c>
    </row>
    <row r="60" spans="1:2" outlineLevel="1" x14ac:dyDescent="0.25">
      <c r="A60" s="9" t="s">
        <v>110</v>
      </c>
      <c r="B60" s="14">
        <f>B53+B54+B55+B56+B57+B58+B59</f>
        <v>149229.80000000022</v>
      </c>
    </row>
    <row r="61" spans="1:2" x14ac:dyDescent="0.25">
      <c r="A61" s="10" t="s">
        <v>109</v>
      </c>
      <c r="B61" s="14">
        <f>B52+B60</f>
        <v>170526.85000000021</v>
      </c>
    </row>
    <row r="65" spans="1:2" x14ac:dyDescent="0.25">
      <c r="A65" s="1" t="s">
        <v>108</v>
      </c>
      <c r="B65" s="4"/>
    </row>
  </sheetData>
  <mergeCells count="4">
    <mergeCell ref="A1:B1"/>
    <mergeCell ref="A2:B2"/>
    <mergeCell ref="A3:B3"/>
    <mergeCell ref="A65:B6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BC86B-9456-4AFA-AE6D-2F4D81EE642D}">
  <dimension ref="A1:B65"/>
  <sheetViews>
    <sheetView workbookViewId="0">
      <selection sqref="A1:B1"/>
    </sheetView>
  </sheetViews>
  <sheetFormatPr defaultColWidth="11.25" defaultRowHeight="15.75" outlineLevelRow="2" x14ac:dyDescent="0.25"/>
  <cols>
    <col min="1" max="1" width="32.375" style="11" customWidth="1"/>
    <col min="2" max="2" width="16.125" style="11" customWidth="1"/>
  </cols>
  <sheetData>
    <row r="1" spans="1:2" x14ac:dyDescent="0.25">
      <c r="A1" s="5" t="s">
        <v>468</v>
      </c>
      <c r="B1" s="4"/>
    </row>
    <row r="2" spans="1:2" x14ac:dyDescent="0.25">
      <c r="A2" s="3" t="s">
        <v>1</v>
      </c>
      <c r="B2" s="4"/>
    </row>
    <row r="3" spans="1:2" x14ac:dyDescent="0.25">
      <c r="A3" s="2" t="s">
        <v>2</v>
      </c>
      <c r="B3" s="4"/>
    </row>
    <row r="5" spans="1:2" x14ac:dyDescent="0.25">
      <c r="A5" s="12" t="s">
        <v>105</v>
      </c>
      <c r="B5" s="12" t="s">
        <v>27</v>
      </c>
    </row>
    <row r="6" spans="1:2" x14ac:dyDescent="0.25">
      <c r="A6" s="6" t="s">
        <v>95</v>
      </c>
    </row>
    <row r="7" spans="1:2" outlineLevel="1" x14ac:dyDescent="0.25">
      <c r="A7" s="7" t="s">
        <v>94</v>
      </c>
      <c r="B7" s="13">
        <v>1660</v>
      </c>
    </row>
    <row r="8" spans="1:2" outlineLevel="1" x14ac:dyDescent="0.25">
      <c r="A8" s="7" t="s">
        <v>93</v>
      </c>
      <c r="B8" s="13">
        <v>3692.5</v>
      </c>
    </row>
    <row r="9" spans="1:2" outlineLevel="1" x14ac:dyDescent="0.25">
      <c r="A9" s="7" t="s">
        <v>92</v>
      </c>
      <c r="B9" s="13">
        <v>77878.41</v>
      </c>
    </row>
    <row r="10" spans="1:2" x14ac:dyDescent="0.25">
      <c r="A10" s="10" t="s">
        <v>91</v>
      </c>
      <c r="B10" s="14">
        <f>B7+B8+B9</f>
        <v>83230.91</v>
      </c>
    </row>
    <row r="11" spans="1:2" x14ac:dyDescent="0.25">
      <c r="A11" s="6" t="s">
        <v>90</v>
      </c>
    </row>
    <row r="12" spans="1:2" outlineLevel="1" x14ac:dyDescent="0.25">
      <c r="A12" s="7" t="s">
        <v>89</v>
      </c>
      <c r="B12" s="15"/>
    </row>
    <row r="13" spans="1:2" outlineLevel="2" x14ac:dyDescent="0.25">
      <c r="A13" s="8" t="s">
        <v>88</v>
      </c>
      <c r="B13" s="13">
        <v>2601.13</v>
      </c>
    </row>
    <row r="14" spans="1:2" outlineLevel="2" x14ac:dyDescent="0.25">
      <c r="A14" s="8" t="s">
        <v>87</v>
      </c>
      <c r="B14" s="13">
        <v>33631.379999999997</v>
      </c>
    </row>
    <row r="15" spans="1:2" outlineLevel="1" x14ac:dyDescent="0.25">
      <c r="A15" s="9" t="s">
        <v>86</v>
      </c>
      <c r="B15" s="14">
        <f>B12+B13+B14</f>
        <v>36232.509999999995</v>
      </c>
    </row>
    <row r="16" spans="1:2" x14ac:dyDescent="0.25">
      <c r="A16" s="10" t="s">
        <v>85</v>
      </c>
      <c r="B16" s="14">
        <f>B15</f>
        <v>36232.509999999995</v>
      </c>
    </row>
    <row r="17" spans="1:2" x14ac:dyDescent="0.25">
      <c r="A17" s="10" t="s">
        <v>84</v>
      </c>
      <c r="B17" s="14">
        <f>B10-B16</f>
        <v>46998.400000000009</v>
      </c>
    </row>
    <row r="18" spans="1:2" x14ac:dyDescent="0.25">
      <c r="A18" s="6" t="s">
        <v>83</v>
      </c>
    </row>
    <row r="19" spans="1:2" outlineLevel="1" x14ac:dyDescent="0.25">
      <c r="A19" s="7" t="s">
        <v>82</v>
      </c>
      <c r="B19" s="13">
        <v>6943.33</v>
      </c>
    </row>
    <row r="20" spans="1:2" outlineLevel="2" x14ac:dyDescent="0.25">
      <c r="A20" s="8" t="s">
        <v>81</v>
      </c>
      <c r="B20" s="13">
        <v>687.58</v>
      </c>
    </row>
    <row r="21" spans="1:2" outlineLevel="1" x14ac:dyDescent="0.25">
      <c r="A21" s="9" t="s">
        <v>80</v>
      </c>
      <c r="B21" s="14">
        <f>B19+B20</f>
        <v>7630.91</v>
      </c>
    </row>
    <row r="22" spans="1:2" outlineLevel="1" x14ac:dyDescent="0.25">
      <c r="A22" s="7" t="s">
        <v>79</v>
      </c>
      <c r="B22" s="13">
        <v>6516.93</v>
      </c>
    </row>
    <row r="23" spans="1:2" outlineLevel="1" x14ac:dyDescent="0.25">
      <c r="A23" s="7" t="s">
        <v>77</v>
      </c>
      <c r="B23" s="13">
        <v>1500</v>
      </c>
    </row>
    <row r="24" spans="1:2" outlineLevel="1" x14ac:dyDescent="0.25">
      <c r="A24" s="7" t="s">
        <v>76</v>
      </c>
      <c r="B24" s="13">
        <v>2779.7</v>
      </c>
    </row>
    <row r="25" spans="1:2" outlineLevel="1" x14ac:dyDescent="0.25">
      <c r="A25" s="7" t="s">
        <v>75</v>
      </c>
      <c r="B25" s="15"/>
    </row>
    <row r="26" spans="1:2" outlineLevel="2" x14ac:dyDescent="0.25">
      <c r="A26" s="8" t="s">
        <v>73</v>
      </c>
      <c r="B26" s="13">
        <v>1170.6500000000001</v>
      </c>
    </row>
    <row r="27" spans="1:2" outlineLevel="1" x14ac:dyDescent="0.25">
      <c r="A27" s="9" t="s">
        <v>72</v>
      </c>
      <c r="B27" s="14">
        <f>B25+B26</f>
        <v>1170.6500000000001</v>
      </c>
    </row>
    <row r="28" spans="1:2" outlineLevel="1" x14ac:dyDescent="0.25">
      <c r="A28" s="7" t="s">
        <v>71</v>
      </c>
      <c r="B28" s="13">
        <v>114.68</v>
      </c>
    </row>
    <row r="29" spans="1:2" outlineLevel="1" x14ac:dyDescent="0.25">
      <c r="A29" s="7" t="s">
        <v>70</v>
      </c>
      <c r="B29" s="15"/>
    </row>
    <row r="30" spans="1:2" outlineLevel="2" x14ac:dyDescent="0.25">
      <c r="A30" s="8" t="s">
        <v>69</v>
      </c>
      <c r="B30" s="13">
        <v>3500</v>
      </c>
    </row>
    <row r="31" spans="1:2" outlineLevel="1" x14ac:dyDescent="0.25">
      <c r="A31" s="9" t="s">
        <v>68</v>
      </c>
      <c r="B31" s="14">
        <f>B29+B30</f>
        <v>3500</v>
      </c>
    </row>
    <row r="32" spans="1:2" outlineLevel="1" x14ac:dyDescent="0.25">
      <c r="A32" s="7" t="s">
        <v>67</v>
      </c>
      <c r="B32" s="13">
        <v>16</v>
      </c>
    </row>
    <row r="33" spans="1:2" outlineLevel="1" x14ac:dyDescent="0.25">
      <c r="A33" s="7" t="s">
        <v>66</v>
      </c>
      <c r="B33" s="15"/>
    </row>
    <row r="34" spans="1:2" outlineLevel="2" x14ac:dyDescent="0.25">
      <c r="A34" s="8" t="s">
        <v>65</v>
      </c>
      <c r="B34" s="13">
        <v>184.99</v>
      </c>
    </row>
    <row r="35" spans="1:2" outlineLevel="2" x14ac:dyDescent="0.25">
      <c r="A35" s="8" t="s">
        <v>64</v>
      </c>
      <c r="B35" s="13">
        <v>11.41</v>
      </c>
    </row>
    <row r="36" spans="1:2" outlineLevel="2" x14ac:dyDescent="0.25">
      <c r="A36" s="8" t="s">
        <v>63</v>
      </c>
      <c r="B36" s="13">
        <v>37.700000000000003</v>
      </c>
    </row>
    <row r="37" spans="1:2" outlineLevel="2" x14ac:dyDescent="0.25">
      <c r="A37" s="8" t="s">
        <v>62</v>
      </c>
      <c r="B37" s="13">
        <v>253.69</v>
      </c>
    </row>
    <row r="38" spans="1:2" outlineLevel="1" x14ac:dyDescent="0.25">
      <c r="A38" s="9" t="s">
        <v>61</v>
      </c>
      <c r="B38" s="14">
        <f>B33+B34+B35+B36+B37</f>
        <v>487.79</v>
      </c>
    </row>
    <row r="39" spans="1:2" outlineLevel="1" x14ac:dyDescent="0.25">
      <c r="A39" s="7" t="s">
        <v>60</v>
      </c>
      <c r="B39" s="15"/>
    </row>
    <row r="40" spans="1:2" outlineLevel="2" x14ac:dyDescent="0.25">
      <c r="A40" s="8" t="s">
        <v>59</v>
      </c>
      <c r="B40" s="13">
        <v>1049.45</v>
      </c>
    </row>
    <row r="41" spans="1:2" outlineLevel="2" x14ac:dyDescent="0.25">
      <c r="A41" s="8" t="s">
        <v>58</v>
      </c>
      <c r="B41" s="13">
        <v>13718.38</v>
      </c>
    </row>
    <row r="42" spans="1:2" outlineLevel="1" x14ac:dyDescent="0.25">
      <c r="A42" s="9" t="s">
        <v>57</v>
      </c>
      <c r="B42" s="14">
        <f>B39+B40+B41</f>
        <v>14767.83</v>
      </c>
    </row>
    <row r="43" spans="1:2" outlineLevel="1" x14ac:dyDescent="0.25">
      <c r="A43" s="7" t="s">
        <v>55</v>
      </c>
      <c r="B43" s="13">
        <v>90</v>
      </c>
    </row>
    <row r="44" spans="1:2" outlineLevel="2" x14ac:dyDescent="0.25">
      <c r="A44" s="8" t="s">
        <v>54</v>
      </c>
      <c r="B44" s="13">
        <v>145</v>
      </c>
    </row>
    <row r="45" spans="1:2" outlineLevel="1" x14ac:dyDescent="0.25">
      <c r="A45" s="9" t="s">
        <v>52</v>
      </c>
      <c r="B45" s="14">
        <f>B43+B44</f>
        <v>235</v>
      </c>
    </row>
    <row r="46" spans="1:2" outlineLevel="1" x14ac:dyDescent="0.25">
      <c r="A46" s="7" t="s">
        <v>50</v>
      </c>
      <c r="B46" s="13">
        <v>313.38</v>
      </c>
    </row>
    <row r="47" spans="1:2" outlineLevel="2" x14ac:dyDescent="0.25">
      <c r="A47" s="8" t="s">
        <v>48</v>
      </c>
      <c r="B47" s="13">
        <v>518.15</v>
      </c>
    </row>
    <row r="48" spans="1:2" outlineLevel="2" x14ac:dyDescent="0.25">
      <c r="A48" s="8" t="s">
        <v>47</v>
      </c>
      <c r="B48" s="13">
        <v>77.12</v>
      </c>
    </row>
    <row r="49" spans="1:2" outlineLevel="1" x14ac:dyDescent="0.25">
      <c r="A49" s="9" t="s">
        <v>46</v>
      </c>
      <c r="B49" s="14">
        <f>B46+B47+B48</f>
        <v>908.65</v>
      </c>
    </row>
    <row r="50" spans="1:2" x14ac:dyDescent="0.25">
      <c r="A50" s="10" t="s">
        <v>45</v>
      </c>
      <c r="B50" s="14">
        <f>B21+B22+B23+B24+B27+B28+B31+B32+B38+B42+B45+B49</f>
        <v>39628.140000000007</v>
      </c>
    </row>
    <row r="51" spans="1:2" x14ac:dyDescent="0.25">
      <c r="A51" s="10" t="s">
        <v>44</v>
      </c>
      <c r="B51" s="14">
        <f>B17-B50</f>
        <v>7370.260000000002</v>
      </c>
    </row>
    <row r="52" spans="1:2" x14ac:dyDescent="0.25">
      <c r="A52" s="6" t="s">
        <v>43</v>
      </c>
    </row>
    <row r="53" spans="1:2" outlineLevel="1" x14ac:dyDescent="0.25">
      <c r="A53" s="7" t="s">
        <v>42</v>
      </c>
      <c r="B53" s="15"/>
    </row>
    <row r="54" spans="1:2" outlineLevel="2" x14ac:dyDescent="0.25">
      <c r="A54" s="8" t="s">
        <v>41</v>
      </c>
      <c r="B54" s="13">
        <v>83.23</v>
      </c>
    </row>
    <row r="55" spans="1:2" outlineLevel="2" x14ac:dyDescent="0.25">
      <c r="A55" s="8" t="s">
        <v>40</v>
      </c>
      <c r="B55" s="13">
        <v>643.48</v>
      </c>
    </row>
    <row r="56" spans="1:2" outlineLevel="2" x14ac:dyDescent="0.25">
      <c r="A56" s="8" t="s">
        <v>39</v>
      </c>
      <c r="B56" s="13">
        <v>44.03</v>
      </c>
    </row>
    <row r="57" spans="1:2" outlineLevel="1" x14ac:dyDescent="0.25">
      <c r="A57" s="9" t="s">
        <v>38</v>
      </c>
      <c r="B57" s="14">
        <f>B53+B54+B55+B56</f>
        <v>770.74</v>
      </c>
    </row>
    <row r="58" spans="1:2" x14ac:dyDescent="0.25">
      <c r="A58" s="10" t="s">
        <v>37</v>
      </c>
      <c r="B58" s="14">
        <f>B57</f>
        <v>770.74</v>
      </c>
    </row>
    <row r="59" spans="1:2" x14ac:dyDescent="0.25">
      <c r="A59" s="6" t="s">
        <v>36</v>
      </c>
      <c r="B59" s="15"/>
    </row>
    <row r="60" spans="1:2" x14ac:dyDescent="0.25">
      <c r="A60" s="10" t="s">
        <v>31</v>
      </c>
      <c r="B60" s="14">
        <f>B58-B59</f>
        <v>770.74</v>
      </c>
    </row>
    <row r="61" spans="1:2" x14ac:dyDescent="0.25">
      <c r="A61" s="10" t="s">
        <v>4</v>
      </c>
      <c r="B61" s="14">
        <f>B51+B60</f>
        <v>8141.0000000000018</v>
      </c>
    </row>
    <row r="65" spans="1:2" x14ac:dyDescent="0.25">
      <c r="A65" s="1" t="s">
        <v>467</v>
      </c>
      <c r="B65" s="4"/>
    </row>
  </sheetData>
  <mergeCells count="4">
    <mergeCell ref="A1:B1"/>
    <mergeCell ref="A2:B2"/>
    <mergeCell ref="A3:B3"/>
    <mergeCell ref="A65:B65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BED0-16CD-4057-AD1F-9BA15E838404}">
  <dimension ref="A1:L75"/>
  <sheetViews>
    <sheetView workbookViewId="0">
      <selection sqref="A1:L1"/>
    </sheetView>
  </sheetViews>
  <sheetFormatPr defaultColWidth="11.25" defaultRowHeight="15.75" outlineLevelRow="2" x14ac:dyDescent="0.25"/>
  <cols>
    <col min="1" max="1" width="32.375" style="11" customWidth="1"/>
    <col min="2" max="2" width="16.125" style="11" customWidth="1"/>
    <col min="3" max="3" width="17" style="11" customWidth="1"/>
    <col min="4" max="5" width="16.125" style="11" customWidth="1"/>
    <col min="6" max="6" width="15.25" style="11" customWidth="1"/>
    <col min="7" max="12" width="16.125" style="11" customWidth="1"/>
  </cols>
  <sheetData>
    <row r="1" spans="1:12" x14ac:dyDescent="0.25">
      <c r="A1" s="5" t="s">
        <v>107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2" t="s">
        <v>106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25">
      <c r="A5" s="12" t="s">
        <v>105</v>
      </c>
      <c r="B5" s="12" t="s">
        <v>104</v>
      </c>
      <c r="C5" s="12" t="s">
        <v>103</v>
      </c>
      <c r="D5" s="12" t="s">
        <v>102</v>
      </c>
      <c r="E5" s="12" t="s">
        <v>101</v>
      </c>
      <c r="F5" s="12" t="s">
        <v>100</v>
      </c>
      <c r="G5" s="12" t="s">
        <v>99</v>
      </c>
      <c r="H5" s="12" t="s">
        <v>98</v>
      </c>
      <c r="I5" s="12" t="s">
        <v>97</v>
      </c>
      <c r="J5" s="12" t="s">
        <v>96</v>
      </c>
      <c r="K5" s="12" t="s">
        <v>2</v>
      </c>
      <c r="L5" s="12" t="s">
        <v>27</v>
      </c>
    </row>
    <row r="6" spans="1:12" x14ac:dyDescent="0.25">
      <c r="A6" s="6" t="s">
        <v>95</v>
      </c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2" outlineLevel="1" x14ac:dyDescent="0.25">
      <c r="A7" s="7" t="s">
        <v>94</v>
      </c>
      <c r="B7" s="13">
        <v>2610</v>
      </c>
      <c r="C7" s="13">
        <v>1025</v>
      </c>
      <c r="D7" s="13">
        <v>1505</v>
      </c>
      <c r="E7" s="13">
        <v>1665</v>
      </c>
      <c r="F7" s="13">
        <v>1815</v>
      </c>
      <c r="G7" s="13">
        <v>510</v>
      </c>
      <c r="H7" s="13">
        <v>340</v>
      </c>
      <c r="I7" s="13">
        <v>2382.46</v>
      </c>
      <c r="J7" s="13">
        <v>1150</v>
      </c>
      <c r="K7" s="13">
        <v>1660</v>
      </c>
      <c r="L7" s="13">
        <v>14662.46</v>
      </c>
    </row>
    <row r="8" spans="1:12" outlineLevel="1" x14ac:dyDescent="0.25">
      <c r="A8" s="7" t="s">
        <v>93</v>
      </c>
      <c r="B8" s="13">
        <v>2090</v>
      </c>
      <c r="C8" s="13">
        <v>4594.07</v>
      </c>
      <c r="D8" s="13">
        <v>2063.25</v>
      </c>
      <c r="E8" s="13">
        <v>4053.48</v>
      </c>
      <c r="F8" s="13">
        <v>4580</v>
      </c>
      <c r="G8" s="13">
        <v>2981.8</v>
      </c>
      <c r="H8" s="13">
        <v>2808.51</v>
      </c>
      <c r="I8" s="13">
        <v>4647.5</v>
      </c>
      <c r="J8" s="13">
        <v>5931.44</v>
      </c>
      <c r="K8" s="13">
        <v>3692.5</v>
      </c>
      <c r="L8" s="13">
        <v>37442.550000000003</v>
      </c>
    </row>
    <row r="9" spans="1:12" outlineLevel="1" x14ac:dyDescent="0.25">
      <c r="A9" s="7" t="s">
        <v>92</v>
      </c>
      <c r="B9" s="13">
        <v>55376.89</v>
      </c>
      <c r="C9" s="13">
        <v>67410.880000000005</v>
      </c>
      <c r="D9" s="13">
        <v>73303.67</v>
      </c>
      <c r="E9" s="13">
        <v>74070.06</v>
      </c>
      <c r="F9" s="13">
        <v>66009.600000000006</v>
      </c>
      <c r="G9" s="13">
        <v>80723.28</v>
      </c>
      <c r="H9" s="13">
        <v>63712.54</v>
      </c>
      <c r="I9" s="13">
        <v>64514.66</v>
      </c>
      <c r="J9" s="13">
        <v>108288.69</v>
      </c>
      <c r="K9" s="13">
        <v>77878.41</v>
      </c>
      <c r="L9" s="18">
        <v>731288.68</v>
      </c>
    </row>
    <row r="10" spans="1:12" x14ac:dyDescent="0.25">
      <c r="A10" s="10" t="s">
        <v>91</v>
      </c>
      <c r="B10" s="17">
        <f>B7+B8+B9</f>
        <v>60076.89</v>
      </c>
      <c r="C10" s="17">
        <f>C7+C8+C9</f>
        <v>73029.950000000012</v>
      </c>
      <c r="D10" s="17">
        <f>D7+D8+D9</f>
        <v>76871.92</v>
      </c>
      <c r="E10" s="17">
        <f>E7+E8+E9</f>
        <v>79788.539999999994</v>
      </c>
      <c r="F10" s="17">
        <f>F7+F8+F9</f>
        <v>72404.600000000006</v>
      </c>
      <c r="G10" s="17">
        <f>G7+G8+G9</f>
        <v>84215.08</v>
      </c>
      <c r="H10" s="17">
        <f>H7+H8+H9</f>
        <v>66861.05</v>
      </c>
      <c r="I10" s="17">
        <f>I7+I8+I9</f>
        <v>71544.62000000001</v>
      </c>
      <c r="J10" s="17">
        <f>J7+J8+J9</f>
        <v>115370.13</v>
      </c>
      <c r="K10" s="17">
        <f>K7+K8+K9</f>
        <v>83230.91</v>
      </c>
      <c r="L10" s="14">
        <v>783393.69000000006</v>
      </c>
    </row>
    <row r="11" spans="1:12" x14ac:dyDescent="0.25">
      <c r="A11" s="6" t="s">
        <v>90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2" outlineLevel="1" x14ac:dyDescent="0.25">
      <c r="A12" s="7" t="s">
        <v>89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1:12" outlineLevel="2" x14ac:dyDescent="0.25">
      <c r="A13" s="8" t="s">
        <v>88</v>
      </c>
      <c r="B13" s="13">
        <v>481.61</v>
      </c>
      <c r="C13" s="13">
        <v>3994.84</v>
      </c>
      <c r="D13" s="13">
        <v>7168.92</v>
      </c>
      <c r="E13" s="15"/>
      <c r="F13" s="13">
        <v>2498.88</v>
      </c>
      <c r="G13" s="13">
        <v>5806.5</v>
      </c>
      <c r="H13" s="13">
        <v>2525.66</v>
      </c>
      <c r="I13" s="13">
        <v>1598.7</v>
      </c>
      <c r="J13" s="13">
        <v>5661.24</v>
      </c>
      <c r="K13" s="13">
        <v>2601.13</v>
      </c>
      <c r="L13" s="13">
        <v>32337.48</v>
      </c>
    </row>
    <row r="14" spans="1:12" outlineLevel="2" x14ac:dyDescent="0.25">
      <c r="A14" s="8" t="s">
        <v>87</v>
      </c>
      <c r="B14" s="13">
        <v>8210.1200000000008</v>
      </c>
      <c r="C14" s="13">
        <v>40058.120000000003</v>
      </c>
      <c r="D14" s="13">
        <v>39889.06</v>
      </c>
      <c r="E14" s="13">
        <v>32649.15</v>
      </c>
      <c r="F14" s="13">
        <v>27225.14</v>
      </c>
      <c r="G14" s="13">
        <v>27823.37</v>
      </c>
      <c r="H14" s="13">
        <v>27520.44</v>
      </c>
      <c r="I14" s="13">
        <v>27874.07</v>
      </c>
      <c r="J14" s="13">
        <v>51857.25</v>
      </c>
      <c r="K14" s="13">
        <v>33631.379999999997</v>
      </c>
      <c r="L14" s="18">
        <v>316738.10000000003</v>
      </c>
    </row>
    <row r="15" spans="1:12" outlineLevel="1" x14ac:dyDescent="0.25">
      <c r="A15" s="9" t="s">
        <v>86</v>
      </c>
      <c r="B15" s="17">
        <f>B12+B13+B14</f>
        <v>8691.7300000000014</v>
      </c>
      <c r="C15" s="17">
        <f>C12+C13+C14</f>
        <v>44052.960000000006</v>
      </c>
      <c r="D15" s="17">
        <f>D12+D13+D14</f>
        <v>47057.979999999996</v>
      </c>
      <c r="E15" s="17">
        <f>E12+E13+E14</f>
        <v>32649.15</v>
      </c>
      <c r="F15" s="17">
        <f>F12+F13+F14</f>
        <v>29724.02</v>
      </c>
      <c r="G15" s="17">
        <f>G12+G13+G14</f>
        <v>33629.869999999995</v>
      </c>
      <c r="H15" s="17">
        <f>H12+H13+H14</f>
        <v>30046.1</v>
      </c>
      <c r="I15" s="17">
        <f>I12+I13+I14</f>
        <v>29472.77</v>
      </c>
      <c r="J15" s="17">
        <f>J12+J13+J14</f>
        <v>57518.49</v>
      </c>
      <c r="K15" s="17">
        <f>K12+K13+K14</f>
        <v>36232.509999999995</v>
      </c>
      <c r="L15" s="16">
        <v>349075.58</v>
      </c>
    </row>
    <row r="16" spans="1:12" x14ac:dyDescent="0.25">
      <c r="A16" s="10" t="s">
        <v>85</v>
      </c>
      <c r="B16" s="17">
        <f>B15</f>
        <v>8691.7300000000014</v>
      </c>
      <c r="C16" s="17">
        <f>C15</f>
        <v>44052.960000000006</v>
      </c>
      <c r="D16" s="17">
        <f>D15</f>
        <v>47057.979999999996</v>
      </c>
      <c r="E16" s="17">
        <f>E15</f>
        <v>32649.15</v>
      </c>
      <c r="F16" s="17">
        <f>F15</f>
        <v>29724.02</v>
      </c>
      <c r="G16" s="17">
        <f>G15</f>
        <v>33629.869999999995</v>
      </c>
      <c r="H16" s="17">
        <f>H15</f>
        <v>30046.1</v>
      </c>
      <c r="I16" s="17">
        <f>I15</f>
        <v>29472.77</v>
      </c>
      <c r="J16" s="17">
        <f>J15</f>
        <v>57518.49</v>
      </c>
      <c r="K16" s="17">
        <f>K15</f>
        <v>36232.509999999995</v>
      </c>
      <c r="L16" s="16">
        <v>349075.58</v>
      </c>
    </row>
    <row r="17" spans="1:12" x14ac:dyDescent="0.25">
      <c r="A17" s="10" t="s">
        <v>84</v>
      </c>
      <c r="B17" s="17">
        <f>B10-B16</f>
        <v>51385.159999999996</v>
      </c>
      <c r="C17" s="17">
        <f>C10-C16</f>
        <v>28976.990000000005</v>
      </c>
      <c r="D17" s="17">
        <f>D10-D16</f>
        <v>29813.940000000002</v>
      </c>
      <c r="E17" s="17">
        <f>E10-E16</f>
        <v>47139.389999999992</v>
      </c>
      <c r="F17" s="17">
        <f>F10-F16</f>
        <v>42680.58</v>
      </c>
      <c r="G17" s="17">
        <f>G10-G16</f>
        <v>50585.210000000006</v>
      </c>
      <c r="H17" s="17">
        <f>H10-H16</f>
        <v>36814.950000000004</v>
      </c>
      <c r="I17" s="17">
        <f>I10-I16</f>
        <v>42071.850000000006</v>
      </c>
      <c r="J17" s="17">
        <f>J10-J16</f>
        <v>57851.640000000007</v>
      </c>
      <c r="K17" s="17">
        <f>K10-K16</f>
        <v>46998.400000000009</v>
      </c>
      <c r="L17" s="14">
        <v>434318.11000000004</v>
      </c>
    </row>
    <row r="18" spans="1:12" x14ac:dyDescent="0.25">
      <c r="A18" s="6" t="s">
        <v>83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2" outlineLevel="1" x14ac:dyDescent="0.25">
      <c r="A19" s="7" t="s">
        <v>82</v>
      </c>
      <c r="B19" s="13">
        <v>5425.5</v>
      </c>
      <c r="C19" s="13">
        <v>6166.42</v>
      </c>
      <c r="D19" s="13">
        <v>6854.62</v>
      </c>
      <c r="E19" s="13">
        <v>6647.55</v>
      </c>
      <c r="F19" s="13">
        <v>5675.45</v>
      </c>
      <c r="G19" s="13">
        <v>5845.09</v>
      </c>
      <c r="H19" s="13">
        <v>5451.45</v>
      </c>
      <c r="I19" s="13">
        <v>6353.43</v>
      </c>
      <c r="J19" s="13">
        <v>7602.27</v>
      </c>
      <c r="K19" s="13">
        <v>6943.33</v>
      </c>
      <c r="L19" s="13">
        <v>62965.11</v>
      </c>
    </row>
    <row r="20" spans="1:12" outlineLevel="2" x14ac:dyDescent="0.25">
      <c r="A20" s="8" t="s">
        <v>81</v>
      </c>
      <c r="B20" s="13">
        <v>414.34</v>
      </c>
      <c r="C20" s="13">
        <v>831</v>
      </c>
      <c r="D20" s="13">
        <v>434.05</v>
      </c>
      <c r="E20" s="13">
        <v>70.02</v>
      </c>
      <c r="F20" s="13">
        <v>478.43</v>
      </c>
      <c r="G20" s="13">
        <v>315.10000000000002</v>
      </c>
      <c r="H20" s="13">
        <v>386.71</v>
      </c>
      <c r="I20" s="13">
        <v>173.21</v>
      </c>
      <c r="J20" s="13">
        <v>343.28</v>
      </c>
      <c r="K20" s="13">
        <v>687.58</v>
      </c>
      <c r="L20" s="18">
        <v>4133.7199999999993</v>
      </c>
    </row>
    <row r="21" spans="1:12" outlineLevel="1" x14ac:dyDescent="0.25">
      <c r="A21" s="9" t="s">
        <v>80</v>
      </c>
      <c r="B21" s="17">
        <f>B19+B20</f>
        <v>5839.84</v>
      </c>
      <c r="C21" s="17">
        <f>C19+C20</f>
        <v>6997.42</v>
      </c>
      <c r="D21" s="17">
        <f>D19+D20</f>
        <v>7288.67</v>
      </c>
      <c r="E21" s="17">
        <f>E19+E20</f>
        <v>6717.5700000000006</v>
      </c>
      <c r="F21" s="17">
        <f>F19+F20</f>
        <v>6153.88</v>
      </c>
      <c r="G21" s="17">
        <f>G19+G20</f>
        <v>6160.1900000000005</v>
      </c>
      <c r="H21" s="17">
        <f>H19+H20</f>
        <v>5838.16</v>
      </c>
      <c r="I21" s="17">
        <f>I19+I20</f>
        <v>6526.64</v>
      </c>
      <c r="J21" s="17">
        <f>J19+J20</f>
        <v>7945.55</v>
      </c>
      <c r="K21" s="17">
        <f>K19+K20</f>
        <v>7630.91</v>
      </c>
      <c r="L21" s="14">
        <v>67098.829999999987</v>
      </c>
    </row>
    <row r="22" spans="1:12" outlineLevel="1" x14ac:dyDescent="0.25">
      <c r="A22" s="7" t="s">
        <v>79</v>
      </c>
      <c r="B22" s="13">
        <v>7215.29</v>
      </c>
      <c r="C22" s="13">
        <v>13033.86</v>
      </c>
      <c r="D22" s="15"/>
      <c r="E22" s="13">
        <v>6516.93</v>
      </c>
      <c r="F22" s="13">
        <v>6516.93</v>
      </c>
      <c r="G22" s="13">
        <v>8656.2000000000007</v>
      </c>
      <c r="H22" s="13">
        <v>6516.93</v>
      </c>
      <c r="I22" s="13">
        <v>6516.93</v>
      </c>
      <c r="J22" s="13">
        <v>6516.93</v>
      </c>
      <c r="K22" s="13">
        <v>6516.93</v>
      </c>
      <c r="L22" s="13">
        <v>68006.930000000008</v>
      </c>
    </row>
    <row r="23" spans="1:12" outlineLevel="1" x14ac:dyDescent="0.25">
      <c r="A23" s="7" t="s">
        <v>78</v>
      </c>
      <c r="B23" s="13">
        <v>55</v>
      </c>
      <c r="C23" s="15"/>
      <c r="D23" s="15"/>
      <c r="E23" s="15"/>
      <c r="F23" s="15"/>
      <c r="G23" s="15"/>
      <c r="H23" s="13">
        <v>801.48</v>
      </c>
      <c r="I23" s="15"/>
      <c r="J23" s="13">
        <v>289</v>
      </c>
      <c r="K23" s="15"/>
      <c r="L23" s="13">
        <f>B23+C23+D23+E23+F23+G23+H23+I23+J23+B230</f>
        <v>1145.48</v>
      </c>
    </row>
    <row r="24" spans="1:12" outlineLevel="1" x14ac:dyDescent="0.25">
      <c r="A24" s="7" t="s">
        <v>77</v>
      </c>
      <c r="B24" s="13">
        <v>1500</v>
      </c>
      <c r="C24" s="13">
        <v>1500</v>
      </c>
      <c r="D24" s="13">
        <v>1500</v>
      </c>
      <c r="E24" s="13">
        <v>1500</v>
      </c>
      <c r="F24" s="13">
        <v>1500</v>
      </c>
      <c r="G24" s="13">
        <v>1500</v>
      </c>
      <c r="H24" s="13">
        <v>1500</v>
      </c>
      <c r="I24" s="13">
        <v>1500</v>
      </c>
      <c r="J24" s="13">
        <v>1500</v>
      </c>
      <c r="K24" s="13">
        <v>1500</v>
      </c>
      <c r="L24" s="13">
        <v>15000</v>
      </c>
    </row>
    <row r="25" spans="1:12" outlineLevel="1" x14ac:dyDescent="0.25">
      <c r="A25" s="7" t="s">
        <v>76</v>
      </c>
      <c r="B25" s="13">
        <v>2827.73</v>
      </c>
      <c r="C25" s="13">
        <v>2827.73</v>
      </c>
      <c r="D25" s="13">
        <v>2827.73</v>
      </c>
      <c r="E25" s="13">
        <v>2827.73</v>
      </c>
      <c r="F25" s="13">
        <v>2827.73</v>
      </c>
      <c r="G25" s="13">
        <v>2827.73</v>
      </c>
      <c r="H25" s="13">
        <v>2827.73</v>
      </c>
      <c r="I25" s="13">
        <v>2827.73</v>
      </c>
      <c r="J25" s="13">
        <v>2827.73</v>
      </c>
      <c r="K25" s="13">
        <v>2779.7</v>
      </c>
      <c r="L25" s="13">
        <v>28229.27</v>
      </c>
    </row>
    <row r="26" spans="1:12" outlineLevel="1" x14ac:dyDescent="0.25">
      <c r="A26" s="7" t="s">
        <v>75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outlineLevel="2" x14ac:dyDescent="0.25">
      <c r="A27" s="8" t="s">
        <v>74</v>
      </c>
      <c r="B27" s="15"/>
      <c r="C27" s="15"/>
      <c r="D27" s="15"/>
      <c r="E27" s="15"/>
      <c r="F27" s="15"/>
      <c r="G27" s="13">
        <v>57.63</v>
      </c>
      <c r="H27" s="13">
        <v>18.510000000000002</v>
      </c>
      <c r="I27" s="15"/>
      <c r="J27" s="13">
        <v>6.67</v>
      </c>
      <c r="K27" s="15"/>
      <c r="L27" s="13">
        <f>B27+C27+D27+E27+F27+G27+H27+I27+J27+B270</f>
        <v>82.81</v>
      </c>
    </row>
    <row r="28" spans="1:12" outlineLevel="2" x14ac:dyDescent="0.25">
      <c r="A28" s="8" t="s">
        <v>73</v>
      </c>
      <c r="B28" s="13">
        <v>16.989999999999998</v>
      </c>
      <c r="C28" s="13">
        <v>16.989999999999998</v>
      </c>
      <c r="D28" s="13">
        <v>16.989999999999998</v>
      </c>
      <c r="E28" s="13">
        <v>16.989999999999998</v>
      </c>
      <c r="F28" s="13">
        <v>266.99</v>
      </c>
      <c r="G28" s="13">
        <v>16.989999999999998</v>
      </c>
      <c r="H28" s="13">
        <v>16.989999999999998</v>
      </c>
      <c r="I28" s="13">
        <v>659.89</v>
      </c>
      <c r="J28" s="13">
        <v>1566.81</v>
      </c>
      <c r="K28" s="13">
        <v>1170.6500000000001</v>
      </c>
      <c r="L28" s="18">
        <v>3766.28</v>
      </c>
    </row>
    <row r="29" spans="1:12" outlineLevel="1" x14ac:dyDescent="0.25">
      <c r="A29" s="9" t="s">
        <v>72</v>
      </c>
      <c r="B29" s="17">
        <f>B26+B27+B28</f>
        <v>16.989999999999998</v>
      </c>
      <c r="C29" s="17">
        <f>C26+C27+C28</f>
        <v>16.989999999999998</v>
      </c>
      <c r="D29" s="17">
        <f>D26+D27+D28</f>
        <v>16.989999999999998</v>
      </c>
      <c r="E29" s="17">
        <f>E26+E27+E28</f>
        <v>16.989999999999998</v>
      </c>
      <c r="F29" s="17">
        <f>F26+F27+F28</f>
        <v>266.99</v>
      </c>
      <c r="G29" s="17">
        <f>G26+G27+G28</f>
        <v>74.62</v>
      </c>
      <c r="H29" s="17">
        <f>H26+H27+H28</f>
        <v>35.5</v>
      </c>
      <c r="I29" s="17">
        <f>I26+I27+I28</f>
        <v>659.89</v>
      </c>
      <c r="J29" s="17">
        <f>J26+J27+J28</f>
        <v>1573.48</v>
      </c>
      <c r="K29" s="17">
        <f>K26+K27+K28</f>
        <v>1170.6500000000001</v>
      </c>
      <c r="L29" s="14">
        <v>3849.09</v>
      </c>
    </row>
    <row r="30" spans="1:12" outlineLevel="1" x14ac:dyDescent="0.25">
      <c r="A30" s="7" t="s">
        <v>71</v>
      </c>
      <c r="B30" s="13">
        <v>1253.27</v>
      </c>
      <c r="C30" s="13">
        <v>97.22</v>
      </c>
      <c r="D30" s="13">
        <v>106.17</v>
      </c>
      <c r="E30" s="13">
        <v>6925.94</v>
      </c>
      <c r="F30" s="13">
        <v>107.16</v>
      </c>
      <c r="G30" s="13">
        <v>187.11</v>
      </c>
      <c r="H30" s="13">
        <v>116.35</v>
      </c>
      <c r="I30" s="13">
        <v>2403.62</v>
      </c>
      <c r="J30" s="13">
        <v>122.45</v>
      </c>
      <c r="K30" s="13">
        <v>114.68</v>
      </c>
      <c r="L30" s="13">
        <v>11433.970000000001</v>
      </c>
    </row>
    <row r="31" spans="1:12" outlineLevel="1" x14ac:dyDescent="0.25">
      <c r="A31" s="7" t="s">
        <v>70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outlineLevel="2" x14ac:dyDescent="0.25">
      <c r="A32" s="8" t="s">
        <v>69</v>
      </c>
      <c r="B32" s="15"/>
      <c r="C32" s="15"/>
      <c r="D32" s="13">
        <v>1000</v>
      </c>
      <c r="E32" s="15"/>
      <c r="F32" s="13">
        <v>1500</v>
      </c>
      <c r="G32" s="13">
        <v>500</v>
      </c>
      <c r="H32" s="13">
        <v>500</v>
      </c>
      <c r="I32" s="13">
        <v>500</v>
      </c>
      <c r="J32" s="13">
        <v>500</v>
      </c>
      <c r="K32" s="13">
        <v>3500</v>
      </c>
      <c r="L32" s="18">
        <v>8000</v>
      </c>
    </row>
    <row r="33" spans="1:12" outlineLevel="1" x14ac:dyDescent="0.25">
      <c r="A33" s="9" t="s">
        <v>68</v>
      </c>
      <c r="B33" s="17"/>
      <c r="C33" s="17"/>
      <c r="D33" s="17">
        <f>D31+D32</f>
        <v>1000</v>
      </c>
      <c r="E33" s="17"/>
      <c r="F33" s="17">
        <f>F31+F32</f>
        <v>1500</v>
      </c>
      <c r="G33" s="17">
        <f>G31+G32</f>
        <v>500</v>
      </c>
      <c r="H33" s="17">
        <f>H31+H32</f>
        <v>500</v>
      </c>
      <c r="I33" s="17">
        <f>I31+I32</f>
        <v>500</v>
      </c>
      <c r="J33" s="17">
        <f>J31+J32</f>
        <v>500</v>
      </c>
      <c r="K33" s="17">
        <f>K31+K32</f>
        <v>3500</v>
      </c>
      <c r="L33" s="14">
        <v>8000</v>
      </c>
    </row>
    <row r="34" spans="1:12" outlineLevel="1" x14ac:dyDescent="0.25">
      <c r="A34" s="7" t="s">
        <v>67</v>
      </c>
      <c r="B34" s="15"/>
      <c r="C34" s="13">
        <v>129.11000000000001</v>
      </c>
      <c r="D34" s="15"/>
      <c r="E34" s="15"/>
      <c r="F34" s="15"/>
      <c r="G34" s="15"/>
      <c r="H34" s="15"/>
      <c r="I34" s="15"/>
      <c r="J34" s="13">
        <v>75.400000000000006</v>
      </c>
      <c r="K34" s="13">
        <v>16</v>
      </c>
      <c r="L34" s="13">
        <v>220.51000000000002</v>
      </c>
    </row>
    <row r="35" spans="1:12" outlineLevel="1" x14ac:dyDescent="0.25">
      <c r="A35" s="7" t="s">
        <v>66</v>
      </c>
      <c r="B35" s="15"/>
      <c r="C35" s="15"/>
      <c r="D35" s="15"/>
      <c r="E35" s="15"/>
      <c r="F35" s="13">
        <v>0</v>
      </c>
      <c r="G35" s="15"/>
      <c r="H35" s="15"/>
      <c r="I35" s="13">
        <v>144.28</v>
      </c>
      <c r="J35" s="13">
        <v>280.18</v>
      </c>
      <c r="K35" s="15"/>
      <c r="L35" s="13">
        <f>B35+C35+D35+E35+F35+G35+H35+I35+J35+B350</f>
        <v>424.46000000000004</v>
      </c>
    </row>
    <row r="36" spans="1:12" outlineLevel="2" x14ac:dyDescent="0.25">
      <c r="A36" s="8" t="s">
        <v>65</v>
      </c>
      <c r="B36" s="13">
        <v>121.33</v>
      </c>
      <c r="C36" s="13">
        <v>128.5</v>
      </c>
      <c r="D36" s="13">
        <v>136.9</v>
      </c>
      <c r="E36" s="13">
        <v>145.5</v>
      </c>
      <c r="F36" s="13">
        <v>151.81</v>
      </c>
      <c r="G36" s="13">
        <v>159.18</v>
      </c>
      <c r="H36" s="13">
        <v>165</v>
      </c>
      <c r="I36" s="13">
        <v>173.52</v>
      </c>
      <c r="J36" s="13">
        <v>179.99</v>
      </c>
      <c r="K36" s="13">
        <v>184.99</v>
      </c>
      <c r="L36" s="13">
        <v>1546.72</v>
      </c>
    </row>
    <row r="37" spans="1:12" outlineLevel="2" x14ac:dyDescent="0.25">
      <c r="A37" s="8" t="s">
        <v>64</v>
      </c>
      <c r="B37" s="13">
        <v>52.69</v>
      </c>
      <c r="C37" s="13">
        <v>2.77</v>
      </c>
      <c r="D37" s="13">
        <v>187.62</v>
      </c>
      <c r="E37" s="13">
        <v>27.16</v>
      </c>
      <c r="F37" s="15"/>
      <c r="G37" s="13">
        <v>19.38</v>
      </c>
      <c r="H37" s="13">
        <v>45.86</v>
      </c>
      <c r="I37" s="13">
        <v>97.05</v>
      </c>
      <c r="J37" s="13">
        <v>146.87</v>
      </c>
      <c r="K37" s="13">
        <v>11.41</v>
      </c>
      <c r="L37" s="13">
        <v>590.81000000000006</v>
      </c>
    </row>
    <row r="38" spans="1:12" outlineLevel="2" x14ac:dyDescent="0.25">
      <c r="A38" s="8" t="s">
        <v>63</v>
      </c>
      <c r="B38" s="15"/>
      <c r="C38" s="15"/>
      <c r="D38" s="13">
        <v>80.819999999999993</v>
      </c>
      <c r="E38" s="15"/>
      <c r="F38" s="15"/>
      <c r="G38" s="15"/>
      <c r="H38" s="15"/>
      <c r="I38" s="15"/>
      <c r="J38" s="13">
        <v>48.48</v>
      </c>
      <c r="K38" s="13">
        <v>37.700000000000003</v>
      </c>
      <c r="L38" s="13">
        <v>167</v>
      </c>
    </row>
    <row r="39" spans="1:12" outlineLevel="2" x14ac:dyDescent="0.25">
      <c r="A39" s="8" t="s">
        <v>62</v>
      </c>
      <c r="B39" s="13">
        <v>322.95</v>
      </c>
      <c r="C39" s="13">
        <v>171.28</v>
      </c>
      <c r="D39" s="13">
        <v>137.97999999999999</v>
      </c>
      <c r="E39" s="13">
        <v>414.48</v>
      </c>
      <c r="F39" s="13">
        <v>267.56</v>
      </c>
      <c r="G39" s="13">
        <v>262.8</v>
      </c>
      <c r="H39" s="13">
        <v>661.96</v>
      </c>
      <c r="I39" s="13">
        <v>427.14</v>
      </c>
      <c r="J39" s="13">
        <v>299.70999999999998</v>
      </c>
      <c r="K39" s="13">
        <v>253.69</v>
      </c>
      <c r="L39" s="18">
        <v>3219.55</v>
      </c>
    </row>
    <row r="40" spans="1:12" outlineLevel="1" x14ac:dyDescent="0.25">
      <c r="A40" s="9" t="s">
        <v>61</v>
      </c>
      <c r="B40" s="17">
        <f>B35+B36+B37+B38+B39</f>
        <v>496.96999999999997</v>
      </c>
      <c r="C40" s="17">
        <f>C35+C36+C37+C38+C39</f>
        <v>302.55</v>
      </c>
      <c r="D40" s="17">
        <f>D35+D36+D37+D38+D39</f>
        <v>543.31999999999994</v>
      </c>
      <c r="E40" s="17">
        <f>E35+E36+E37+E38+E39</f>
        <v>587.14</v>
      </c>
      <c r="F40" s="17">
        <f>F35+F36+F37+F38+F39</f>
        <v>419.37</v>
      </c>
      <c r="G40" s="17">
        <f>G35+G36+G37+G38+G39</f>
        <v>441.36</v>
      </c>
      <c r="H40" s="17">
        <f>H35+H36+H37+H38+H39</f>
        <v>872.82</v>
      </c>
      <c r="I40" s="17">
        <f>I35+I36+I37+I38+I39</f>
        <v>841.99</v>
      </c>
      <c r="J40" s="17">
        <f>J35+J36+J37+J38+J39</f>
        <v>955.23</v>
      </c>
      <c r="K40" s="17">
        <f>K35+K36+K37+K38+K39</f>
        <v>487.79</v>
      </c>
      <c r="L40" s="14">
        <v>5948.5400000000009</v>
      </c>
    </row>
    <row r="41" spans="1:12" outlineLevel="1" x14ac:dyDescent="0.25">
      <c r="A41" s="7" t="s">
        <v>60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outlineLevel="2" x14ac:dyDescent="0.25">
      <c r="A42" s="8" t="s">
        <v>59</v>
      </c>
      <c r="B42" s="13">
        <v>1107.06</v>
      </c>
      <c r="C42" s="13">
        <v>1296.57</v>
      </c>
      <c r="D42" s="13">
        <v>1115.93</v>
      </c>
      <c r="E42" s="13">
        <v>895.18</v>
      </c>
      <c r="F42" s="13">
        <v>1059.52</v>
      </c>
      <c r="G42" s="13">
        <v>1250.8499999999999</v>
      </c>
      <c r="H42" s="13">
        <v>1136.0899999999999</v>
      </c>
      <c r="I42" s="13">
        <v>1853.5</v>
      </c>
      <c r="J42" s="13">
        <v>1156.6300000000001</v>
      </c>
      <c r="K42" s="13">
        <v>1049.45</v>
      </c>
      <c r="L42" s="13">
        <v>11920.780000000002</v>
      </c>
    </row>
    <row r="43" spans="1:12" outlineLevel="2" x14ac:dyDescent="0.25">
      <c r="A43" s="8" t="s">
        <v>58</v>
      </c>
      <c r="B43" s="13">
        <v>10165.9</v>
      </c>
      <c r="C43" s="13">
        <v>12171.21</v>
      </c>
      <c r="D43" s="13">
        <v>12220.25</v>
      </c>
      <c r="E43" s="13">
        <v>11445.94</v>
      </c>
      <c r="F43" s="13">
        <v>13368.98</v>
      </c>
      <c r="G43" s="13">
        <v>15116.43</v>
      </c>
      <c r="H43" s="13">
        <v>13769.6</v>
      </c>
      <c r="I43" s="13">
        <v>23123.45</v>
      </c>
      <c r="J43" s="13">
        <v>15119.12</v>
      </c>
      <c r="K43" s="13">
        <v>13718.38</v>
      </c>
      <c r="L43" s="18">
        <v>140219.25999999998</v>
      </c>
    </row>
    <row r="44" spans="1:12" outlineLevel="1" x14ac:dyDescent="0.25">
      <c r="A44" s="9" t="s">
        <v>57</v>
      </c>
      <c r="B44" s="17">
        <f>B41+B42+B43</f>
        <v>11272.96</v>
      </c>
      <c r="C44" s="17">
        <f>C41+C42+C43</f>
        <v>13467.779999999999</v>
      </c>
      <c r="D44" s="17">
        <f>D41+D42+D43</f>
        <v>13336.18</v>
      </c>
      <c r="E44" s="17">
        <f>E41+E42+E43</f>
        <v>12341.12</v>
      </c>
      <c r="F44" s="17">
        <f>F41+F42+F43</f>
        <v>14428.5</v>
      </c>
      <c r="G44" s="17">
        <f>G41+G42+G43</f>
        <v>16367.28</v>
      </c>
      <c r="H44" s="17">
        <f>H41+H42+H43</f>
        <v>14905.69</v>
      </c>
      <c r="I44" s="17">
        <f>I41+I42+I43</f>
        <v>24976.95</v>
      </c>
      <c r="J44" s="17">
        <f>J41+J42+J43</f>
        <v>16275.75</v>
      </c>
      <c r="K44" s="17">
        <f>K41+K42+K43</f>
        <v>14767.83</v>
      </c>
      <c r="L44" s="14">
        <v>152140.04</v>
      </c>
    </row>
    <row r="45" spans="1:12" outlineLevel="1" x14ac:dyDescent="0.25">
      <c r="A45" s="7" t="s">
        <v>56</v>
      </c>
      <c r="B45" s="15"/>
      <c r="C45" s="15"/>
      <c r="D45" s="13">
        <v>323.5</v>
      </c>
      <c r="E45" s="15"/>
      <c r="F45" s="15"/>
      <c r="G45" s="13">
        <v>1152.58</v>
      </c>
      <c r="H45" s="15"/>
      <c r="I45" s="15"/>
      <c r="J45" s="15"/>
      <c r="K45" s="15"/>
      <c r="L45" s="13">
        <f>B45+C45+D45+E45+F45+G45+H45+I45+J45+B450</f>
        <v>1476.08</v>
      </c>
    </row>
    <row r="46" spans="1:12" outlineLevel="1" x14ac:dyDescent="0.25">
      <c r="A46" s="7" t="s">
        <v>55</v>
      </c>
      <c r="B46" s="15"/>
      <c r="C46" s="15"/>
      <c r="D46" s="15"/>
      <c r="E46" s="13">
        <v>64</v>
      </c>
      <c r="F46" s="15"/>
      <c r="G46" s="15"/>
      <c r="H46" s="15"/>
      <c r="I46" s="15"/>
      <c r="J46" s="15"/>
      <c r="K46" s="13">
        <v>90</v>
      </c>
      <c r="L46" s="13">
        <v>154</v>
      </c>
    </row>
    <row r="47" spans="1:12" outlineLevel="2" x14ac:dyDescent="0.25">
      <c r="A47" s="8" t="s">
        <v>54</v>
      </c>
      <c r="B47" s="15"/>
      <c r="C47" s="15"/>
      <c r="D47" s="15"/>
      <c r="E47" s="13">
        <v>35</v>
      </c>
      <c r="F47" s="15"/>
      <c r="G47" s="15"/>
      <c r="H47" s="13">
        <v>598</v>
      </c>
      <c r="I47" s="15"/>
      <c r="J47" s="13">
        <v>3872.91</v>
      </c>
      <c r="K47" s="13">
        <v>145</v>
      </c>
      <c r="L47" s="13">
        <v>4650.91</v>
      </c>
    </row>
    <row r="48" spans="1:12" outlineLevel="2" x14ac:dyDescent="0.25">
      <c r="A48" s="8" t="s">
        <v>53</v>
      </c>
      <c r="B48" s="15"/>
      <c r="C48" s="15"/>
      <c r="D48" s="15"/>
      <c r="E48" s="13">
        <v>803.85</v>
      </c>
      <c r="F48" s="15"/>
      <c r="G48" s="13">
        <v>146.91</v>
      </c>
      <c r="H48" s="15"/>
      <c r="I48" s="15"/>
      <c r="J48" s="15"/>
      <c r="K48" s="15"/>
      <c r="L48" s="13">
        <f>B48+C48+D48+E48+F48+G48+H48+I48+J48+B480</f>
        <v>950.76</v>
      </c>
    </row>
    <row r="49" spans="1:12" outlineLevel="1" x14ac:dyDescent="0.25">
      <c r="A49" s="9" t="s">
        <v>52</v>
      </c>
      <c r="B49" s="17"/>
      <c r="C49" s="17"/>
      <c r="D49" s="17"/>
      <c r="E49" s="17">
        <f>E46+E47+E48</f>
        <v>902.85</v>
      </c>
      <c r="F49" s="17"/>
      <c r="G49" s="17">
        <f>G46+G47+G48</f>
        <v>146.91</v>
      </c>
      <c r="H49" s="17">
        <f>H46+H47+H48</f>
        <v>598</v>
      </c>
      <c r="I49" s="17"/>
      <c r="J49" s="17">
        <f>J46+J47+J48</f>
        <v>3872.91</v>
      </c>
      <c r="K49" s="17">
        <f>K46+K47+K48</f>
        <v>235</v>
      </c>
      <c r="L49" s="14">
        <v>5755.67</v>
      </c>
    </row>
    <row r="50" spans="1:12" outlineLevel="1" x14ac:dyDescent="0.25">
      <c r="A50" s="7" t="s">
        <v>51</v>
      </c>
      <c r="B50" s="15"/>
      <c r="C50" s="15"/>
      <c r="D50" s="15"/>
      <c r="E50" s="13">
        <v>2786</v>
      </c>
      <c r="F50" s="15"/>
      <c r="G50" s="15"/>
      <c r="H50" s="13">
        <v>-2786</v>
      </c>
      <c r="I50" s="15"/>
      <c r="J50" s="15"/>
      <c r="K50" s="15"/>
      <c r="L50" s="13">
        <f>B50+C50+D50+E50+F50+G50+H50+I50+J50+B500</f>
        <v>0</v>
      </c>
    </row>
    <row r="51" spans="1:12" outlineLevel="1" x14ac:dyDescent="0.25">
      <c r="A51" s="7" t="s">
        <v>50</v>
      </c>
      <c r="B51" s="13">
        <v>185.36</v>
      </c>
      <c r="C51" s="13">
        <v>233.18</v>
      </c>
      <c r="D51" s="13">
        <v>205.14</v>
      </c>
      <c r="E51" s="13">
        <v>211.39</v>
      </c>
      <c r="F51" s="13">
        <v>232.88</v>
      </c>
      <c r="G51" s="13">
        <v>267.52999999999997</v>
      </c>
      <c r="H51" s="13">
        <v>346.07</v>
      </c>
      <c r="I51" s="13">
        <v>380.15</v>
      </c>
      <c r="J51" s="13">
        <v>313.61</v>
      </c>
      <c r="K51" s="13">
        <v>313.38</v>
      </c>
      <c r="L51" s="13">
        <v>2688.69</v>
      </c>
    </row>
    <row r="52" spans="1:12" outlineLevel="2" x14ac:dyDescent="0.25">
      <c r="A52" s="8" t="s">
        <v>49</v>
      </c>
      <c r="B52" s="15"/>
      <c r="C52" s="15"/>
      <c r="D52" s="15"/>
      <c r="E52" s="15"/>
      <c r="F52" s="15"/>
      <c r="G52" s="13">
        <v>137</v>
      </c>
      <c r="H52" s="13">
        <v>39.96</v>
      </c>
      <c r="I52" s="15"/>
      <c r="J52" s="15"/>
      <c r="K52" s="15"/>
      <c r="L52" s="13">
        <f>B52+C52+D52+E52+F52+G52+H52+I52+J52+B520</f>
        <v>176.96</v>
      </c>
    </row>
    <row r="53" spans="1:12" outlineLevel="2" x14ac:dyDescent="0.25">
      <c r="A53" s="8" t="s">
        <v>48</v>
      </c>
      <c r="B53" s="13">
        <v>257.18</v>
      </c>
      <c r="C53" s="13">
        <v>263.75</v>
      </c>
      <c r="D53" s="13">
        <v>342.03</v>
      </c>
      <c r="E53" s="13">
        <v>319.44</v>
      </c>
      <c r="F53" s="13">
        <v>319.26</v>
      </c>
      <c r="G53" s="13">
        <v>319.26</v>
      </c>
      <c r="H53" s="13">
        <v>343.67</v>
      </c>
      <c r="I53" s="13">
        <v>270.58</v>
      </c>
      <c r="J53" s="13">
        <v>270.73</v>
      </c>
      <c r="K53" s="13">
        <v>518.15</v>
      </c>
      <c r="L53" s="13">
        <v>3224.05</v>
      </c>
    </row>
    <row r="54" spans="1:12" outlineLevel="2" x14ac:dyDescent="0.25">
      <c r="A54" s="8" t="s">
        <v>47</v>
      </c>
      <c r="B54" s="13">
        <v>86.94</v>
      </c>
      <c r="C54" s="13">
        <v>107.75</v>
      </c>
      <c r="D54" s="13">
        <v>119.18</v>
      </c>
      <c r="E54" s="13">
        <v>102.46</v>
      </c>
      <c r="F54" s="13">
        <v>87.15</v>
      </c>
      <c r="G54" s="13">
        <v>81.83</v>
      </c>
      <c r="H54" s="13">
        <v>81.17</v>
      </c>
      <c r="I54" s="13">
        <v>81.17</v>
      </c>
      <c r="J54" s="13">
        <v>82.25</v>
      </c>
      <c r="K54" s="13">
        <v>77.12</v>
      </c>
      <c r="L54" s="18">
        <v>907.02</v>
      </c>
    </row>
    <row r="55" spans="1:12" outlineLevel="1" x14ac:dyDescent="0.25">
      <c r="A55" s="9" t="s">
        <v>46</v>
      </c>
      <c r="B55" s="17">
        <f>B51+B52+B53+B54</f>
        <v>529.48</v>
      </c>
      <c r="C55" s="17">
        <f>C51+C52+C53+C54</f>
        <v>604.68000000000006</v>
      </c>
      <c r="D55" s="17">
        <f>D51+D52+D53+D54</f>
        <v>666.34999999999991</v>
      </c>
      <c r="E55" s="17">
        <f>E51+E52+E53+E54</f>
        <v>633.29</v>
      </c>
      <c r="F55" s="17">
        <f>F51+F52+F53+F54</f>
        <v>639.29</v>
      </c>
      <c r="G55" s="17">
        <f>G51+G52+G53+G54</f>
        <v>805.62</v>
      </c>
      <c r="H55" s="17">
        <f>H51+H52+H53+H54</f>
        <v>810.87</v>
      </c>
      <c r="I55" s="17">
        <f>I51+I52+I53+I54</f>
        <v>731.9</v>
      </c>
      <c r="J55" s="17">
        <f>J51+J52+J53+J54</f>
        <v>666.59</v>
      </c>
      <c r="K55" s="17">
        <f>K51+K52+K53+K54</f>
        <v>908.65</v>
      </c>
      <c r="L55" s="16">
        <v>6996.7199999999993</v>
      </c>
    </row>
    <row r="56" spans="1:12" x14ac:dyDescent="0.25">
      <c r="A56" s="10" t="s">
        <v>45</v>
      </c>
      <c r="B56" s="17">
        <f>B21+B22+B23+B24+B25+B29+B30+B33+B34+B40+B44+B45+B49+B50+B55</f>
        <v>31007.530000000002</v>
      </c>
      <c r="C56" s="17">
        <f>C21+C22+C23+C24+C25+C29+C30+C33+C34+C40+C44+C45+C49+C50+C55</f>
        <v>38977.340000000004</v>
      </c>
      <c r="D56" s="17">
        <f>D21+D22+D23+D24+D25+D29+D30+D33+D34+D40+D44+D45+D49+D50+D55</f>
        <v>27608.909999999996</v>
      </c>
      <c r="E56" s="17">
        <f>E21+E22+E23+E24+E25+E29+E30+E33+E34+E40+E44+E45+E49+E50+E55</f>
        <v>41755.56</v>
      </c>
      <c r="F56" s="17">
        <f>F21+F22+F23+F24+F25+F29+F30+F33+F34+F40+F44+F45+F49+F50+F55</f>
        <v>34359.85</v>
      </c>
      <c r="G56" s="17">
        <f>G21+G22+G23+G24+G25+G29+G30+G33+G34+G40+G44+G45+G49+G50+G55</f>
        <v>38819.600000000013</v>
      </c>
      <c r="H56" s="17">
        <f>H21+H22+H23+H24+H25+H29+H30+H33+H34+H40+H44+H45+H49+H50+H55</f>
        <v>32537.529999999995</v>
      </c>
      <c r="I56" s="17">
        <f>I21+I22+I23+I24+I25+I29+I30+I33+I34+I40+I44+I45+I49+I50+I55</f>
        <v>47485.65</v>
      </c>
      <c r="J56" s="17">
        <f>J21+J22+J23+J24+J25+J29+J30+J33+J34+J40+J44+J45+J49+J50+J55</f>
        <v>43121.020000000004</v>
      </c>
      <c r="K56" s="17">
        <f>K21+K22+K23+K24+K25+K29+K30+K33+K34+K40+K44+K45+K49+K50+K55</f>
        <v>39628.140000000007</v>
      </c>
      <c r="L56" s="16">
        <v>375301.13</v>
      </c>
    </row>
    <row r="57" spans="1:12" x14ac:dyDescent="0.25">
      <c r="A57" s="10" t="s">
        <v>44</v>
      </c>
      <c r="B57" s="17">
        <f>B17-B56</f>
        <v>20377.629999999994</v>
      </c>
      <c r="C57" s="17">
        <f>C17-C56</f>
        <v>-10000.349999999999</v>
      </c>
      <c r="D57" s="17">
        <f>D17-D56</f>
        <v>2205.0300000000061</v>
      </c>
      <c r="E57" s="17">
        <f>E17-E56</f>
        <v>5383.8299999999945</v>
      </c>
      <c r="F57" s="17">
        <f>F17-F56</f>
        <v>8320.7300000000032</v>
      </c>
      <c r="G57" s="17">
        <f>G17-G56</f>
        <v>11765.609999999993</v>
      </c>
      <c r="H57" s="17">
        <f>H17-H56</f>
        <v>4277.4200000000092</v>
      </c>
      <c r="I57" s="17">
        <f>I17-I56</f>
        <v>-5413.7999999999956</v>
      </c>
      <c r="J57" s="17">
        <f>J17-J56</f>
        <v>14730.620000000003</v>
      </c>
      <c r="K57" s="17">
        <f>K17-K56</f>
        <v>7370.260000000002</v>
      </c>
      <c r="L57" s="14">
        <v>59016.98000000004</v>
      </c>
    </row>
    <row r="58" spans="1:12" x14ac:dyDescent="0.25">
      <c r="A58" s="6" t="s">
        <v>43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 spans="1:12" outlineLevel="1" x14ac:dyDescent="0.25">
      <c r="A59" s="7" t="s">
        <v>42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 spans="1:12" outlineLevel="2" x14ac:dyDescent="0.25">
      <c r="A60" s="8" t="s">
        <v>41</v>
      </c>
      <c r="B60" s="13">
        <v>157.97</v>
      </c>
      <c r="C60" s="13">
        <v>91.4</v>
      </c>
      <c r="D60" s="13">
        <v>127.97</v>
      </c>
      <c r="E60" s="13">
        <v>360.07</v>
      </c>
      <c r="F60" s="13">
        <v>317.17</v>
      </c>
      <c r="G60" s="15"/>
      <c r="H60" s="13">
        <v>279.58</v>
      </c>
      <c r="I60" s="13">
        <v>8.52</v>
      </c>
      <c r="J60" s="13">
        <v>99.99</v>
      </c>
      <c r="K60" s="13">
        <v>83.23</v>
      </c>
      <c r="L60" s="13">
        <v>1525.9</v>
      </c>
    </row>
    <row r="61" spans="1:12" outlineLevel="2" x14ac:dyDescent="0.25">
      <c r="A61" s="8" t="s">
        <v>40</v>
      </c>
      <c r="B61" s="13">
        <v>525</v>
      </c>
      <c r="C61" s="13">
        <v>726.93</v>
      </c>
      <c r="D61" s="13">
        <v>715.01</v>
      </c>
      <c r="E61" s="13">
        <v>333.25</v>
      </c>
      <c r="F61" s="13">
        <v>670.5</v>
      </c>
      <c r="G61" s="13">
        <v>217.25</v>
      </c>
      <c r="H61" s="13">
        <v>369.79</v>
      </c>
      <c r="I61" s="13">
        <v>672.33</v>
      </c>
      <c r="J61" s="13">
        <v>837.28</v>
      </c>
      <c r="K61" s="13">
        <v>643.48</v>
      </c>
      <c r="L61" s="13">
        <v>5710.82</v>
      </c>
    </row>
    <row r="62" spans="1:12" outlineLevel="2" x14ac:dyDescent="0.25">
      <c r="A62" s="8" t="s">
        <v>39</v>
      </c>
      <c r="B62" s="13">
        <v>27.47</v>
      </c>
      <c r="C62" s="13">
        <v>19.079999999999998</v>
      </c>
      <c r="D62" s="13">
        <v>18.77</v>
      </c>
      <c r="E62" s="13">
        <v>27.68</v>
      </c>
      <c r="F62" s="13">
        <v>21.54</v>
      </c>
      <c r="G62" s="13">
        <v>24.11</v>
      </c>
      <c r="H62" s="13">
        <v>29.56</v>
      </c>
      <c r="I62" s="13">
        <v>26</v>
      </c>
      <c r="J62" s="13">
        <v>43.52</v>
      </c>
      <c r="K62" s="13">
        <v>44.03</v>
      </c>
      <c r="L62" s="18">
        <v>281.76</v>
      </c>
    </row>
    <row r="63" spans="1:12" outlineLevel="1" x14ac:dyDescent="0.25">
      <c r="A63" s="9" t="s">
        <v>38</v>
      </c>
      <c r="B63" s="17">
        <f>B59+B60+B61+B62</f>
        <v>710.44</v>
      </c>
      <c r="C63" s="17">
        <f>C59+C60+C61+C62</f>
        <v>837.41</v>
      </c>
      <c r="D63" s="17">
        <f>D59+D60+D61+D62</f>
        <v>861.75</v>
      </c>
      <c r="E63" s="17">
        <f>E59+E60+E61+E62</f>
        <v>720.99999999999989</v>
      </c>
      <c r="F63" s="17">
        <f>F59+F60+F61+F62</f>
        <v>1009.21</v>
      </c>
      <c r="G63" s="17">
        <f>G59+G60+G61+G62</f>
        <v>241.36</v>
      </c>
      <c r="H63" s="17">
        <f>H59+H60+H61+H62</f>
        <v>678.93</v>
      </c>
      <c r="I63" s="17">
        <f>I59+I60+I61+I62</f>
        <v>706.85</v>
      </c>
      <c r="J63" s="17">
        <f>J59+J60+J61+J62</f>
        <v>980.79</v>
      </c>
      <c r="K63" s="17">
        <f>K59+K60+K61+K62</f>
        <v>770.74</v>
      </c>
      <c r="L63" s="16">
        <v>7518.4800000000005</v>
      </c>
    </row>
    <row r="64" spans="1:12" x14ac:dyDescent="0.25">
      <c r="A64" s="10" t="s">
        <v>37</v>
      </c>
      <c r="B64" s="17">
        <f>B63</f>
        <v>710.44</v>
      </c>
      <c r="C64" s="17">
        <f>C63</f>
        <v>837.41</v>
      </c>
      <c r="D64" s="17">
        <f>D63</f>
        <v>861.75</v>
      </c>
      <c r="E64" s="17">
        <f>E63</f>
        <v>720.99999999999989</v>
      </c>
      <c r="F64" s="17">
        <f>F63</f>
        <v>1009.21</v>
      </c>
      <c r="G64" s="17">
        <f>G63</f>
        <v>241.36</v>
      </c>
      <c r="H64" s="17">
        <f>H63</f>
        <v>678.93</v>
      </c>
      <c r="I64" s="17">
        <f>I63</f>
        <v>706.85</v>
      </c>
      <c r="J64" s="17">
        <f>J63</f>
        <v>980.79</v>
      </c>
      <c r="K64" s="17">
        <f>K63</f>
        <v>770.74</v>
      </c>
      <c r="L64" s="14">
        <v>7518.4800000000005</v>
      </c>
    </row>
    <row r="65" spans="1:12" x14ac:dyDescent="0.25">
      <c r="A65" s="6" t="s">
        <v>36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spans="1:12" outlineLevel="1" x14ac:dyDescent="0.25">
      <c r="A66" s="7" t="s">
        <v>35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7" spans="1:12" outlineLevel="2" x14ac:dyDescent="0.25">
      <c r="A67" s="8" t="s">
        <v>34</v>
      </c>
      <c r="B67" s="15"/>
      <c r="C67" s="15"/>
      <c r="D67" s="15"/>
      <c r="E67" s="15"/>
      <c r="F67" s="15"/>
      <c r="G67" s="15"/>
      <c r="H67" s="15"/>
      <c r="I67" s="15"/>
      <c r="J67" s="13">
        <v>12</v>
      </c>
      <c r="K67" s="15"/>
      <c r="L67" s="13">
        <f>B67+C67+D67+E67+F67+G67+H67+I67+J67+B670</f>
        <v>12</v>
      </c>
    </row>
    <row r="68" spans="1:12" outlineLevel="1" x14ac:dyDescent="0.25">
      <c r="A68" s="9" t="s">
        <v>33</v>
      </c>
      <c r="B68" s="17"/>
      <c r="C68" s="17"/>
      <c r="D68" s="17"/>
      <c r="E68" s="17"/>
      <c r="F68" s="17"/>
      <c r="G68" s="17"/>
      <c r="H68" s="17"/>
      <c r="I68" s="17"/>
      <c r="J68" s="17">
        <f>J66+J67</f>
        <v>12</v>
      </c>
      <c r="K68" s="17"/>
      <c r="L68" s="14">
        <f>B68+C68+D68+E68+F68+G68+H68+I68+J68+B680</f>
        <v>12</v>
      </c>
    </row>
    <row r="69" spans="1:12" x14ac:dyDescent="0.25">
      <c r="A69" s="10" t="s">
        <v>32</v>
      </c>
      <c r="B69" s="17"/>
      <c r="C69" s="17"/>
      <c r="D69" s="17"/>
      <c r="E69" s="17"/>
      <c r="F69" s="17"/>
      <c r="G69" s="17"/>
      <c r="H69" s="17"/>
      <c r="I69" s="17"/>
      <c r="J69" s="17">
        <f>J68</f>
        <v>12</v>
      </c>
      <c r="K69" s="17"/>
      <c r="L69" s="14">
        <f>B69+C69+D69+E69+F69+G69+H69+I69+J69+B690</f>
        <v>12</v>
      </c>
    </row>
    <row r="70" spans="1:12" x14ac:dyDescent="0.25">
      <c r="A70" s="10" t="s">
        <v>31</v>
      </c>
      <c r="B70" s="17">
        <f>B64-B69</f>
        <v>710.44</v>
      </c>
      <c r="C70" s="17">
        <f>C64-C69</f>
        <v>837.41</v>
      </c>
      <c r="D70" s="17">
        <f>D64-D69</f>
        <v>861.75</v>
      </c>
      <c r="E70" s="17">
        <f>E64-E69</f>
        <v>720.99999999999989</v>
      </c>
      <c r="F70" s="17">
        <f>F64-F69</f>
        <v>1009.21</v>
      </c>
      <c r="G70" s="17">
        <f>G64-G69</f>
        <v>241.36</v>
      </c>
      <c r="H70" s="17">
        <f>H64-H69</f>
        <v>678.93</v>
      </c>
      <c r="I70" s="17">
        <f>I64-I69</f>
        <v>706.85</v>
      </c>
      <c r="J70" s="17">
        <f>J64-J69</f>
        <v>968.79</v>
      </c>
      <c r="K70" s="17">
        <f>K64-K69</f>
        <v>770.74</v>
      </c>
      <c r="L70" s="16">
        <v>7506.4800000000005</v>
      </c>
    </row>
    <row r="71" spans="1:12" x14ac:dyDescent="0.25">
      <c r="A71" s="10" t="s">
        <v>4</v>
      </c>
      <c r="B71" s="17">
        <f>B57+B70</f>
        <v>21088.069999999992</v>
      </c>
      <c r="C71" s="17">
        <f>C57+C70</f>
        <v>-9162.9399999999987</v>
      </c>
      <c r="D71" s="17">
        <f>D57+D70</f>
        <v>3066.7800000000061</v>
      </c>
      <c r="E71" s="17">
        <f>E57+E70</f>
        <v>6104.8299999999945</v>
      </c>
      <c r="F71" s="17">
        <f>F57+F70</f>
        <v>9329.9400000000023</v>
      </c>
      <c r="G71" s="17">
        <f>G57+G70</f>
        <v>12006.969999999994</v>
      </c>
      <c r="H71" s="17">
        <f>H57+H70</f>
        <v>4956.3500000000095</v>
      </c>
      <c r="I71" s="17">
        <f>I57+I70</f>
        <v>-4706.9499999999953</v>
      </c>
      <c r="J71" s="17">
        <f>J57+J70</f>
        <v>15699.410000000003</v>
      </c>
      <c r="K71" s="17">
        <f>K57+K70</f>
        <v>8141.0000000000018</v>
      </c>
      <c r="L71" s="14">
        <v>66523.460000000036</v>
      </c>
    </row>
    <row r="75" spans="1:12" x14ac:dyDescent="0.25">
      <c r="A75" s="1" t="s">
        <v>29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</sheetData>
  <mergeCells count="4">
    <mergeCell ref="A1:L1"/>
    <mergeCell ref="A2:L2"/>
    <mergeCell ref="A3:L3"/>
    <mergeCell ref="A75:L7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B32"/>
  <sheetViews>
    <sheetView workbookViewId="0">
      <selection sqref="A1:B1"/>
    </sheetView>
  </sheetViews>
  <sheetFormatPr defaultColWidth="11.25" defaultRowHeight="15.75" outlineLevelRow="2" x14ac:dyDescent="0.25"/>
  <cols>
    <col min="1" max="1" width="70.25" style="11" customWidth="1"/>
    <col min="2" max="2" width="16.125" style="11" customWidth="1"/>
  </cols>
  <sheetData>
    <row r="1" spans="1:2" x14ac:dyDescent="0.25">
      <c r="A1" s="5" t="s">
        <v>0</v>
      </c>
      <c r="B1" s="4"/>
    </row>
    <row r="2" spans="1:2" x14ac:dyDescent="0.25">
      <c r="A2" s="3" t="s">
        <v>1</v>
      </c>
      <c r="B2" s="4"/>
    </row>
    <row r="3" spans="1:2" x14ac:dyDescent="0.25">
      <c r="A3" s="2" t="s">
        <v>2</v>
      </c>
      <c r="B3" s="4"/>
    </row>
    <row r="5" spans="1:2" x14ac:dyDescent="0.25">
      <c r="A5" s="12" t="s">
        <v>26</v>
      </c>
      <c r="B5" s="12" t="s">
        <v>27</v>
      </c>
    </row>
    <row r="6" spans="1:2" x14ac:dyDescent="0.25">
      <c r="A6" s="6" t="s">
        <v>3</v>
      </c>
    </row>
    <row r="7" spans="1:2" outlineLevel="1" x14ac:dyDescent="0.25">
      <c r="A7" s="7" t="s">
        <v>4</v>
      </c>
      <c r="B7" s="13">
        <v>8141.00000000001</v>
      </c>
    </row>
    <row r="8" spans="1:2" outlineLevel="1" x14ac:dyDescent="0.25">
      <c r="A8" s="7" t="s">
        <v>5</v>
      </c>
    </row>
    <row r="9" spans="1:2" outlineLevel="2" x14ac:dyDescent="0.25">
      <c r="A9" s="8" t="s">
        <v>6</v>
      </c>
      <c r="B9" s="13">
        <v>-2443.4899999999998</v>
      </c>
    </row>
    <row r="10" spans="1:2" outlineLevel="2" x14ac:dyDescent="0.25">
      <c r="A10" s="8" t="s">
        <v>7</v>
      </c>
      <c r="B10" s="13">
        <v>0</v>
      </c>
    </row>
    <row r="11" spans="1:2" outlineLevel="2" x14ac:dyDescent="0.25">
      <c r="A11" s="8" t="s">
        <v>8</v>
      </c>
      <c r="B11" s="13">
        <v>2681.82</v>
      </c>
    </row>
    <row r="12" spans="1:2" outlineLevel="2" x14ac:dyDescent="0.25">
      <c r="A12" s="8" t="s">
        <v>9</v>
      </c>
      <c r="B12" s="13">
        <v>168</v>
      </c>
    </row>
    <row r="13" spans="1:2" outlineLevel="2" x14ac:dyDescent="0.25">
      <c r="A13" s="8" t="s">
        <v>10</v>
      </c>
      <c r="B13" s="13">
        <v>311.83999999999997</v>
      </c>
    </row>
    <row r="14" spans="1:2" outlineLevel="2" x14ac:dyDescent="0.25">
      <c r="A14" s="8" t="s">
        <v>11</v>
      </c>
      <c r="B14" s="13">
        <v>-144.22999999999999</v>
      </c>
    </row>
    <row r="15" spans="1:2" outlineLevel="2" x14ac:dyDescent="0.25">
      <c r="A15" s="8" t="s">
        <v>12</v>
      </c>
      <c r="B15" s="13">
        <v>16755.36</v>
      </c>
    </row>
    <row r="16" spans="1:2" outlineLevel="2" x14ac:dyDescent="0.25">
      <c r="A16" s="8" t="s">
        <v>13</v>
      </c>
      <c r="B16" s="13">
        <v>-3406.57</v>
      </c>
    </row>
    <row r="17" spans="1:2" outlineLevel="2" x14ac:dyDescent="0.25">
      <c r="A17" s="8" t="s">
        <v>14</v>
      </c>
      <c r="B17" s="13">
        <v>-176.19</v>
      </c>
    </row>
    <row r="18" spans="1:2" outlineLevel="1" x14ac:dyDescent="0.25">
      <c r="A18" s="9" t="s">
        <v>15</v>
      </c>
      <c r="B18" s="14">
        <f>B8+B9+B10+B11+B12+B13+B14+B15+B16+B17</f>
        <v>13746.539999999999</v>
      </c>
    </row>
    <row r="19" spans="1:2" x14ac:dyDescent="0.25">
      <c r="A19" s="10" t="s">
        <v>16</v>
      </c>
      <c r="B19" s="14">
        <f>B7+B18</f>
        <v>21887.540000000008</v>
      </c>
    </row>
    <row r="20" spans="1:2" x14ac:dyDescent="0.25">
      <c r="A20" s="6" t="s">
        <v>17</v>
      </c>
      <c r="B20" s="15"/>
    </row>
    <row r="21" spans="1:2" x14ac:dyDescent="0.25">
      <c r="A21" s="6" t="s">
        <v>18</v>
      </c>
    </row>
    <row r="22" spans="1:2" outlineLevel="1" x14ac:dyDescent="0.25">
      <c r="A22" s="7" t="s">
        <v>19</v>
      </c>
      <c r="B22" s="13">
        <v>244.91</v>
      </c>
    </row>
    <row r="23" spans="1:2" outlineLevel="1" x14ac:dyDescent="0.25">
      <c r="A23" s="7" t="s">
        <v>20</v>
      </c>
      <c r="B23" s="13">
        <v>-8289.2999999999993</v>
      </c>
    </row>
    <row r="24" spans="1:2" outlineLevel="1" x14ac:dyDescent="0.25">
      <c r="A24" s="7" t="s">
        <v>21</v>
      </c>
      <c r="B24" s="13">
        <v>-124.04</v>
      </c>
    </row>
    <row r="25" spans="1:2" x14ac:dyDescent="0.25">
      <c r="A25" s="10" t="s">
        <v>22</v>
      </c>
      <c r="B25" s="14">
        <f>B22+B23+B24</f>
        <v>-8168.4299999999994</v>
      </c>
    </row>
    <row r="26" spans="1:2" x14ac:dyDescent="0.25">
      <c r="A26" s="10" t="s">
        <v>23</v>
      </c>
      <c r="B26" s="14">
        <f>B19+B20+B25</f>
        <v>13719.110000000008</v>
      </c>
    </row>
    <row r="27" spans="1:2" x14ac:dyDescent="0.25">
      <c r="A27" s="10" t="s">
        <v>24</v>
      </c>
      <c r="B27" s="16">
        <v>29315.94</v>
      </c>
    </row>
    <row r="28" spans="1:2" x14ac:dyDescent="0.25">
      <c r="A28" s="10" t="s">
        <v>25</v>
      </c>
      <c r="B28" s="14">
        <v>43035.05</v>
      </c>
    </row>
    <row r="32" spans="1:2" x14ac:dyDescent="0.25">
      <c r="A32" s="1" t="s">
        <v>28</v>
      </c>
      <c r="B32" s="4"/>
    </row>
  </sheetData>
  <mergeCells count="4">
    <mergeCell ref="A1:B1"/>
    <mergeCell ref="A2:B2"/>
    <mergeCell ref="A3:B3"/>
    <mergeCell ref="A32:B32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044C-820F-47BE-8521-FB9AE290DBE1}">
  <dimension ref="A1:J628"/>
  <sheetViews>
    <sheetView workbookViewId="0">
      <selection sqref="A1:J1"/>
    </sheetView>
  </sheetViews>
  <sheetFormatPr defaultRowHeight="15" x14ac:dyDescent="0.25"/>
  <cols>
    <col min="1" max="1" width="39.125" style="25" customWidth="1"/>
    <col min="2" max="2" width="15.75" style="25" customWidth="1"/>
    <col min="3" max="3" width="15" style="25" customWidth="1"/>
    <col min="4" max="5" width="6.75" style="25" customWidth="1"/>
    <col min="6" max="6" width="30.125" style="25" customWidth="1"/>
    <col min="7" max="7" width="76" style="25" customWidth="1"/>
    <col min="8" max="8" width="40.625" style="25" customWidth="1"/>
    <col min="9" max="9" width="9" style="25" customWidth="1"/>
    <col min="10" max="10" width="7.5" style="25" customWidth="1"/>
    <col min="11" max="16384" width="9" style="25"/>
  </cols>
  <sheetData>
    <row r="1" spans="1:10" ht="18" x14ac:dyDescent="0.25">
      <c r="A1" s="35" t="s">
        <v>1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18" x14ac:dyDescent="0.25">
      <c r="A2" s="35" t="s">
        <v>466</v>
      </c>
      <c r="B2" s="26"/>
      <c r="C2" s="26"/>
      <c r="D2" s="26"/>
      <c r="E2" s="26"/>
      <c r="F2" s="26"/>
      <c r="G2" s="26"/>
      <c r="H2" s="26"/>
      <c r="I2" s="26"/>
      <c r="J2" s="26"/>
    </row>
    <row r="3" spans="1:10" x14ac:dyDescent="0.25">
      <c r="A3" s="34" t="s">
        <v>2</v>
      </c>
      <c r="B3" s="26"/>
      <c r="C3" s="26"/>
      <c r="D3" s="26"/>
      <c r="E3" s="26"/>
      <c r="F3" s="26"/>
      <c r="G3" s="26"/>
      <c r="H3" s="26"/>
      <c r="I3" s="26"/>
      <c r="J3" s="26"/>
    </row>
    <row r="5" spans="1:10" x14ac:dyDescent="0.25">
      <c r="B5" s="33" t="s">
        <v>465</v>
      </c>
      <c r="C5" s="33" t="s">
        <v>464</v>
      </c>
      <c r="D5" s="33" t="s">
        <v>463</v>
      </c>
      <c r="E5" s="33" t="s">
        <v>462</v>
      </c>
      <c r="F5" s="33" t="s">
        <v>461</v>
      </c>
      <c r="G5" s="33" t="s">
        <v>460</v>
      </c>
      <c r="H5" s="33" t="s">
        <v>459</v>
      </c>
      <c r="I5" s="33" t="s">
        <v>458</v>
      </c>
      <c r="J5" s="33" t="s">
        <v>457</v>
      </c>
    </row>
    <row r="6" spans="1:10" x14ac:dyDescent="0.25">
      <c r="A6" s="29" t="s">
        <v>151</v>
      </c>
    </row>
    <row r="7" spans="1:10" x14ac:dyDescent="0.25">
      <c r="B7" s="31" t="s">
        <v>202</v>
      </c>
      <c r="J7" s="30">
        <v>29315.94</v>
      </c>
    </row>
    <row r="8" spans="1:10" x14ac:dyDescent="0.25">
      <c r="B8" s="31" t="s">
        <v>318</v>
      </c>
      <c r="C8" s="31" t="s">
        <v>166</v>
      </c>
      <c r="D8" s="31"/>
      <c r="E8" s="31" t="s">
        <v>165</v>
      </c>
      <c r="F8" s="31"/>
      <c r="G8" s="31" t="s">
        <v>370</v>
      </c>
      <c r="H8" s="31" t="s">
        <v>92</v>
      </c>
      <c r="I8" s="30">
        <v>379.37</v>
      </c>
      <c r="J8" s="30">
        <v>29695.31</v>
      </c>
    </row>
    <row r="9" spans="1:10" x14ac:dyDescent="0.25">
      <c r="B9" s="31" t="s">
        <v>318</v>
      </c>
      <c r="C9" s="31" t="s">
        <v>166</v>
      </c>
      <c r="D9" s="31"/>
      <c r="E9" s="31" t="s">
        <v>165</v>
      </c>
      <c r="F9" s="31"/>
      <c r="G9" s="31" t="s">
        <v>368</v>
      </c>
      <c r="H9" s="31" t="s">
        <v>92</v>
      </c>
      <c r="I9" s="30">
        <v>1886.27</v>
      </c>
      <c r="J9" s="30">
        <v>31581.58</v>
      </c>
    </row>
    <row r="10" spans="1:10" x14ac:dyDescent="0.25">
      <c r="B10" s="31" t="s">
        <v>318</v>
      </c>
      <c r="C10" s="31" t="s">
        <v>166</v>
      </c>
      <c r="D10" s="31"/>
      <c r="E10" s="31" t="s">
        <v>165</v>
      </c>
      <c r="F10" s="31"/>
      <c r="G10" s="31" t="s">
        <v>369</v>
      </c>
      <c r="H10" s="31" t="s">
        <v>92</v>
      </c>
      <c r="I10" s="30">
        <v>2896.62</v>
      </c>
      <c r="J10" s="30">
        <v>34478.199999999997</v>
      </c>
    </row>
    <row r="11" spans="1:10" x14ac:dyDescent="0.25">
      <c r="B11" s="31" t="s">
        <v>194</v>
      </c>
      <c r="C11" s="31" t="s">
        <v>166</v>
      </c>
      <c r="D11" s="31"/>
      <c r="E11" s="31" t="s">
        <v>165</v>
      </c>
      <c r="F11" s="31"/>
      <c r="G11" s="31" t="s">
        <v>368</v>
      </c>
      <c r="H11" s="31" t="s">
        <v>92</v>
      </c>
      <c r="I11" s="30">
        <v>2780.98</v>
      </c>
      <c r="J11" s="30">
        <v>37259.18</v>
      </c>
    </row>
    <row r="12" spans="1:10" x14ac:dyDescent="0.25">
      <c r="B12" s="31" t="s">
        <v>194</v>
      </c>
      <c r="C12" s="31" t="s">
        <v>166</v>
      </c>
      <c r="D12" s="31"/>
      <c r="E12" s="31" t="s">
        <v>165</v>
      </c>
      <c r="F12" s="31"/>
      <c r="G12" s="31" t="s">
        <v>371</v>
      </c>
      <c r="H12" s="31" t="s">
        <v>92</v>
      </c>
      <c r="I12" s="30">
        <v>554.58000000000004</v>
      </c>
      <c r="J12" s="30">
        <v>37813.760000000002</v>
      </c>
    </row>
    <row r="13" spans="1:10" x14ac:dyDescent="0.25">
      <c r="B13" s="31" t="s">
        <v>194</v>
      </c>
      <c r="C13" s="31" t="s">
        <v>184</v>
      </c>
      <c r="D13" s="31"/>
      <c r="E13" s="31" t="s">
        <v>165</v>
      </c>
      <c r="F13" s="31" t="s">
        <v>291</v>
      </c>
      <c r="G13" s="31" t="s">
        <v>290</v>
      </c>
      <c r="H13" s="31" t="s">
        <v>79</v>
      </c>
      <c r="I13" s="30">
        <v>-6516.93</v>
      </c>
      <c r="J13" s="30">
        <v>31296.83</v>
      </c>
    </row>
    <row r="14" spans="1:10" x14ac:dyDescent="0.25">
      <c r="B14" s="31" t="s">
        <v>194</v>
      </c>
      <c r="C14" s="31" t="s">
        <v>166</v>
      </c>
      <c r="D14" s="31"/>
      <c r="E14" s="31" t="s">
        <v>165</v>
      </c>
      <c r="F14" s="31"/>
      <c r="G14" s="31" t="s">
        <v>369</v>
      </c>
      <c r="H14" s="31" t="s">
        <v>92</v>
      </c>
      <c r="I14" s="30">
        <v>584.4</v>
      </c>
      <c r="J14" s="30">
        <v>31881.23</v>
      </c>
    </row>
    <row r="15" spans="1:10" x14ac:dyDescent="0.25">
      <c r="B15" s="31" t="s">
        <v>328</v>
      </c>
      <c r="C15" s="31" t="s">
        <v>166</v>
      </c>
      <c r="D15" s="31"/>
      <c r="E15" s="31" t="s">
        <v>165</v>
      </c>
      <c r="F15" s="31" t="s">
        <v>379</v>
      </c>
      <c r="G15" s="31" t="s">
        <v>378</v>
      </c>
      <c r="H15" s="31" t="s">
        <v>94</v>
      </c>
      <c r="I15" s="30">
        <v>80</v>
      </c>
      <c r="J15" s="30">
        <v>31961.23</v>
      </c>
    </row>
    <row r="16" spans="1:10" x14ac:dyDescent="0.25">
      <c r="B16" s="31" t="s">
        <v>328</v>
      </c>
      <c r="C16" s="31" t="s">
        <v>166</v>
      </c>
      <c r="D16" s="31"/>
      <c r="E16" s="31" t="s">
        <v>165</v>
      </c>
      <c r="F16" s="31" t="s">
        <v>381</v>
      </c>
      <c r="G16" s="31" t="s">
        <v>380</v>
      </c>
      <c r="H16" s="31" t="s">
        <v>94</v>
      </c>
      <c r="I16" s="30">
        <v>150</v>
      </c>
      <c r="J16" s="30">
        <v>32111.23</v>
      </c>
    </row>
    <row r="17" spans="2:10" x14ac:dyDescent="0.25">
      <c r="B17" s="31" t="s">
        <v>328</v>
      </c>
      <c r="C17" s="31" t="s">
        <v>166</v>
      </c>
      <c r="D17" s="31"/>
      <c r="E17" s="31" t="s">
        <v>165</v>
      </c>
      <c r="F17" s="31"/>
      <c r="G17" s="31" t="s">
        <v>368</v>
      </c>
      <c r="H17" s="31" t="s">
        <v>92</v>
      </c>
      <c r="I17" s="30">
        <v>96.35</v>
      </c>
      <c r="J17" s="30">
        <v>32207.58</v>
      </c>
    </row>
    <row r="18" spans="2:10" x14ac:dyDescent="0.25">
      <c r="B18" s="31" t="s">
        <v>263</v>
      </c>
      <c r="C18" s="31" t="s">
        <v>166</v>
      </c>
      <c r="D18" s="31"/>
      <c r="E18" s="31" t="s">
        <v>165</v>
      </c>
      <c r="F18" s="31"/>
      <c r="G18" s="31" t="s">
        <v>367</v>
      </c>
      <c r="H18" s="31" t="s">
        <v>92</v>
      </c>
      <c r="I18" s="30">
        <v>700.47</v>
      </c>
      <c r="J18" s="30">
        <v>32908.050000000003</v>
      </c>
    </row>
    <row r="19" spans="2:10" x14ac:dyDescent="0.25">
      <c r="B19" s="31" t="s">
        <v>263</v>
      </c>
      <c r="C19" s="31" t="s">
        <v>184</v>
      </c>
      <c r="D19" s="31"/>
      <c r="E19" s="31" t="s">
        <v>165</v>
      </c>
      <c r="F19" s="31" t="s">
        <v>164</v>
      </c>
      <c r="G19" s="31" t="s">
        <v>389</v>
      </c>
      <c r="H19" s="31" t="s">
        <v>20</v>
      </c>
      <c r="I19" s="30">
        <v>-5708.78</v>
      </c>
      <c r="J19" s="30">
        <v>27199.27</v>
      </c>
    </row>
    <row r="20" spans="2:10" x14ac:dyDescent="0.25">
      <c r="B20" s="31" t="s">
        <v>263</v>
      </c>
      <c r="C20" s="31" t="s">
        <v>166</v>
      </c>
      <c r="D20" s="31"/>
      <c r="E20" s="31" t="s">
        <v>165</v>
      </c>
      <c r="F20" s="31"/>
      <c r="G20" s="31" t="s">
        <v>367</v>
      </c>
      <c r="H20" s="31" t="s">
        <v>92</v>
      </c>
      <c r="I20" s="30">
        <v>5841.06</v>
      </c>
      <c r="J20" s="30">
        <v>33040.33</v>
      </c>
    </row>
    <row r="21" spans="2:10" x14ac:dyDescent="0.25">
      <c r="B21" s="31" t="s">
        <v>263</v>
      </c>
      <c r="C21" s="31" t="s">
        <v>166</v>
      </c>
      <c r="D21" s="31"/>
      <c r="E21" s="31" t="s">
        <v>165</v>
      </c>
      <c r="F21" s="31"/>
      <c r="G21" s="31" t="s">
        <v>367</v>
      </c>
      <c r="H21" s="31" t="s">
        <v>92</v>
      </c>
      <c r="I21" s="30">
        <v>1164.1300000000001</v>
      </c>
      <c r="J21" s="30">
        <v>34204.46</v>
      </c>
    </row>
    <row r="22" spans="2:10" x14ac:dyDescent="0.25">
      <c r="B22" s="31" t="s">
        <v>263</v>
      </c>
      <c r="C22" s="31" t="s">
        <v>166</v>
      </c>
      <c r="D22" s="31"/>
      <c r="E22" s="31" t="s">
        <v>165</v>
      </c>
      <c r="F22" s="31"/>
      <c r="G22" s="31" t="s">
        <v>370</v>
      </c>
      <c r="H22" s="31" t="s">
        <v>92</v>
      </c>
      <c r="I22" s="30">
        <v>872.19</v>
      </c>
      <c r="J22" s="30">
        <v>35076.65</v>
      </c>
    </row>
    <row r="23" spans="2:10" x14ac:dyDescent="0.25">
      <c r="B23" s="31" t="s">
        <v>263</v>
      </c>
      <c r="C23" s="31" t="s">
        <v>166</v>
      </c>
      <c r="D23" s="31"/>
      <c r="E23" s="31" t="s">
        <v>165</v>
      </c>
      <c r="F23" s="31"/>
      <c r="G23" s="31" t="s">
        <v>368</v>
      </c>
      <c r="H23" s="31" t="s">
        <v>92</v>
      </c>
      <c r="I23" s="30">
        <v>770.8</v>
      </c>
      <c r="J23" s="30">
        <v>35847.449999999997</v>
      </c>
    </row>
    <row r="24" spans="2:10" x14ac:dyDescent="0.25">
      <c r="B24" s="31" t="s">
        <v>263</v>
      </c>
      <c r="C24" s="31" t="s">
        <v>184</v>
      </c>
      <c r="D24" s="31"/>
      <c r="E24" s="31" t="s">
        <v>165</v>
      </c>
      <c r="F24" s="31" t="s">
        <v>271</v>
      </c>
      <c r="G24" s="31" t="s">
        <v>270</v>
      </c>
      <c r="H24" s="31" t="s">
        <v>71</v>
      </c>
      <c r="I24" s="30">
        <v>-65.069999999999993</v>
      </c>
      <c r="J24" s="30">
        <v>35782.379999999997</v>
      </c>
    </row>
    <row r="25" spans="2:10" x14ac:dyDescent="0.25">
      <c r="B25" s="31" t="s">
        <v>375</v>
      </c>
      <c r="C25" s="31" t="s">
        <v>166</v>
      </c>
      <c r="D25" s="31"/>
      <c r="E25" s="31" t="s">
        <v>165</v>
      </c>
      <c r="F25" s="31"/>
      <c r="G25" s="31" t="s">
        <v>372</v>
      </c>
      <c r="H25" s="31" t="s">
        <v>92</v>
      </c>
      <c r="I25" s="30">
        <v>1105.17</v>
      </c>
      <c r="J25" s="30">
        <v>36887.550000000003</v>
      </c>
    </row>
    <row r="26" spans="2:10" x14ac:dyDescent="0.25">
      <c r="B26" s="31" t="s">
        <v>375</v>
      </c>
      <c r="C26" s="31" t="s">
        <v>166</v>
      </c>
      <c r="D26" s="31"/>
      <c r="E26" s="31" t="s">
        <v>165</v>
      </c>
      <c r="F26" s="31"/>
      <c r="G26" s="31" t="s">
        <v>368</v>
      </c>
      <c r="H26" s="31" t="s">
        <v>92</v>
      </c>
      <c r="I26" s="30">
        <v>78.099999999999994</v>
      </c>
      <c r="J26" s="30">
        <v>36965.65</v>
      </c>
    </row>
    <row r="27" spans="2:10" x14ac:dyDescent="0.25">
      <c r="B27" s="31" t="s">
        <v>284</v>
      </c>
      <c r="C27" s="31" t="s">
        <v>166</v>
      </c>
      <c r="D27" s="31"/>
      <c r="E27" s="31" t="s">
        <v>165</v>
      </c>
      <c r="F27" s="31" t="s">
        <v>383</v>
      </c>
      <c r="G27" s="31" t="s">
        <v>382</v>
      </c>
      <c r="H27" s="31" t="s">
        <v>94</v>
      </c>
      <c r="I27" s="30">
        <v>40</v>
      </c>
      <c r="J27" s="30">
        <v>37005.65</v>
      </c>
    </row>
    <row r="28" spans="2:10" x14ac:dyDescent="0.25">
      <c r="B28" s="31" t="s">
        <v>284</v>
      </c>
      <c r="C28" s="31" t="s">
        <v>166</v>
      </c>
      <c r="D28" s="31"/>
      <c r="E28" s="31" t="s">
        <v>165</v>
      </c>
      <c r="F28" s="31" t="s">
        <v>383</v>
      </c>
      <c r="G28" s="31" t="s">
        <v>382</v>
      </c>
      <c r="H28" s="31" t="s">
        <v>94</v>
      </c>
      <c r="I28" s="30">
        <v>20</v>
      </c>
      <c r="J28" s="30">
        <v>37025.65</v>
      </c>
    </row>
    <row r="29" spans="2:10" x14ac:dyDescent="0.25">
      <c r="B29" s="31" t="s">
        <v>284</v>
      </c>
      <c r="C29" s="31" t="s">
        <v>184</v>
      </c>
      <c r="D29" s="31"/>
      <c r="E29" s="31" t="s">
        <v>165</v>
      </c>
      <c r="F29" s="31" t="s">
        <v>283</v>
      </c>
      <c r="G29" s="31" t="s">
        <v>282</v>
      </c>
      <c r="H29" s="31" t="s">
        <v>76</v>
      </c>
      <c r="I29" s="30">
        <v>-2779.7</v>
      </c>
      <c r="J29" s="30">
        <v>34245.949999999997</v>
      </c>
    </row>
    <row r="30" spans="2:10" x14ac:dyDescent="0.25">
      <c r="B30" s="31" t="s">
        <v>284</v>
      </c>
      <c r="C30" s="31" t="s">
        <v>166</v>
      </c>
      <c r="D30" s="31"/>
      <c r="E30" s="31" t="s">
        <v>165</v>
      </c>
      <c r="F30" s="31"/>
      <c r="G30" s="31" t="s">
        <v>367</v>
      </c>
      <c r="H30" s="31" t="s">
        <v>92</v>
      </c>
      <c r="I30" s="30">
        <v>812.55</v>
      </c>
      <c r="J30" s="30">
        <v>35058.5</v>
      </c>
    </row>
    <row r="31" spans="2:10" x14ac:dyDescent="0.25">
      <c r="B31" s="31" t="s">
        <v>284</v>
      </c>
      <c r="C31" s="31" t="s">
        <v>166</v>
      </c>
      <c r="D31" s="31"/>
      <c r="E31" s="31" t="s">
        <v>165</v>
      </c>
      <c r="F31" s="31"/>
      <c r="G31" s="31" t="s">
        <v>374</v>
      </c>
      <c r="H31" s="31" t="s">
        <v>92</v>
      </c>
      <c r="I31" s="30">
        <v>375</v>
      </c>
      <c r="J31" s="30">
        <v>35433.5</v>
      </c>
    </row>
    <row r="32" spans="2:10" x14ac:dyDescent="0.25">
      <c r="B32" s="31" t="s">
        <v>284</v>
      </c>
      <c r="C32" s="31" t="s">
        <v>166</v>
      </c>
      <c r="D32" s="31"/>
      <c r="E32" s="31" t="s">
        <v>165</v>
      </c>
      <c r="F32" s="31"/>
      <c r="G32" s="31" t="s">
        <v>368</v>
      </c>
      <c r="H32" s="31" t="s">
        <v>92</v>
      </c>
      <c r="I32" s="30">
        <v>337.16</v>
      </c>
      <c r="J32" s="30">
        <v>35770.660000000003</v>
      </c>
    </row>
    <row r="33" spans="2:10" x14ac:dyDescent="0.25">
      <c r="B33" s="31" t="s">
        <v>185</v>
      </c>
      <c r="C33" s="31" t="s">
        <v>166</v>
      </c>
      <c r="D33" s="31"/>
      <c r="E33" s="31" t="s">
        <v>165</v>
      </c>
      <c r="F33" s="31"/>
      <c r="G33" s="31" t="s">
        <v>371</v>
      </c>
      <c r="H33" s="31" t="s">
        <v>92</v>
      </c>
      <c r="I33" s="30">
        <v>164.68</v>
      </c>
      <c r="J33" s="30">
        <v>35935.339999999997</v>
      </c>
    </row>
    <row r="34" spans="2:10" x14ac:dyDescent="0.25">
      <c r="B34" s="31" t="s">
        <v>185</v>
      </c>
      <c r="C34" s="31" t="s">
        <v>166</v>
      </c>
      <c r="D34" s="31"/>
      <c r="E34" s="31" t="s">
        <v>165</v>
      </c>
      <c r="F34" s="31"/>
      <c r="G34" s="31" t="s">
        <v>367</v>
      </c>
      <c r="H34" s="31" t="s">
        <v>92</v>
      </c>
      <c r="I34" s="30">
        <v>2661.87</v>
      </c>
      <c r="J34" s="30">
        <v>38597.21</v>
      </c>
    </row>
    <row r="35" spans="2:10" x14ac:dyDescent="0.25">
      <c r="B35" s="31" t="s">
        <v>223</v>
      </c>
      <c r="C35" s="31" t="s">
        <v>219</v>
      </c>
      <c r="D35" s="31" t="s">
        <v>218</v>
      </c>
      <c r="E35" s="31" t="s">
        <v>165</v>
      </c>
      <c r="F35" s="31" t="s">
        <v>217</v>
      </c>
      <c r="G35" s="31" t="s">
        <v>416</v>
      </c>
      <c r="H35" s="31" t="s">
        <v>7</v>
      </c>
      <c r="I35" s="30">
        <v>-1098.98</v>
      </c>
      <c r="J35" s="30">
        <v>37498.230000000003</v>
      </c>
    </row>
    <row r="36" spans="2:10" x14ac:dyDescent="0.25">
      <c r="B36" s="31" t="s">
        <v>223</v>
      </c>
      <c r="C36" s="31" t="s">
        <v>219</v>
      </c>
      <c r="D36" s="31" t="s">
        <v>218</v>
      </c>
      <c r="E36" s="31" t="s">
        <v>165</v>
      </c>
      <c r="F36" s="31" t="s">
        <v>222</v>
      </c>
      <c r="G36" s="31" t="s">
        <v>416</v>
      </c>
      <c r="H36" s="31" t="s">
        <v>7</v>
      </c>
      <c r="I36" s="30">
        <v>-1063.45</v>
      </c>
      <c r="J36" s="30">
        <v>36434.78</v>
      </c>
    </row>
    <row r="37" spans="2:10" x14ac:dyDescent="0.25">
      <c r="B37" s="31" t="s">
        <v>223</v>
      </c>
      <c r="C37" s="31" t="s">
        <v>400</v>
      </c>
      <c r="D37" s="31"/>
      <c r="E37" s="31" t="s">
        <v>165</v>
      </c>
      <c r="F37" s="31" t="s">
        <v>239</v>
      </c>
      <c r="G37" s="31" t="s">
        <v>400</v>
      </c>
      <c r="H37" s="32" t="s">
        <v>364</v>
      </c>
      <c r="I37" s="30">
        <v>-1334.77</v>
      </c>
      <c r="J37" s="30">
        <v>35100.01</v>
      </c>
    </row>
    <row r="38" spans="2:10" x14ac:dyDescent="0.25">
      <c r="B38" s="31" t="s">
        <v>223</v>
      </c>
      <c r="C38" s="31" t="s">
        <v>184</v>
      </c>
      <c r="D38" s="31"/>
      <c r="E38" s="31" t="s">
        <v>165</v>
      </c>
      <c r="F38" s="31" t="s">
        <v>397</v>
      </c>
      <c r="G38" s="31" t="s">
        <v>396</v>
      </c>
      <c r="H38" s="31" t="s">
        <v>14</v>
      </c>
      <c r="I38" s="30">
        <v>-495.02</v>
      </c>
      <c r="J38" s="30">
        <v>34604.99</v>
      </c>
    </row>
    <row r="39" spans="2:10" x14ac:dyDescent="0.25">
      <c r="B39" s="31" t="s">
        <v>223</v>
      </c>
      <c r="C39" s="31" t="s">
        <v>166</v>
      </c>
      <c r="D39" s="31"/>
      <c r="E39" s="31" t="s">
        <v>165</v>
      </c>
      <c r="F39" s="31" t="s">
        <v>379</v>
      </c>
      <c r="G39" s="31" t="s">
        <v>378</v>
      </c>
      <c r="H39" s="31" t="s">
        <v>94</v>
      </c>
      <c r="I39" s="30">
        <v>550</v>
      </c>
      <c r="J39" s="30">
        <v>35154.99</v>
      </c>
    </row>
    <row r="40" spans="2:10" x14ac:dyDescent="0.25">
      <c r="B40" s="31" t="s">
        <v>223</v>
      </c>
      <c r="C40" s="31" t="s">
        <v>219</v>
      </c>
      <c r="D40" s="31" t="s">
        <v>218</v>
      </c>
      <c r="E40" s="31" t="s">
        <v>165</v>
      </c>
      <c r="F40" s="31" t="s">
        <v>221</v>
      </c>
      <c r="G40" s="31" t="s">
        <v>415</v>
      </c>
      <c r="H40" s="31" t="s">
        <v>7</v>
      </c>
      <c r="I40" s="30">
        <v>-1856.78</v>
      </c>
      <c r="J40" s="30">
        <v>33298.21</v>
      </c>
    </row>
    <row r="41" spans="2:10" x14ac:dyDescent="0.25">
      <c r="B41" s="31" t="s">
        <v>223</v>
      </c>
      <c r="C41" s="31" t="s">
        <v>166</v>
      </c>
      <c r="D41" s="31"/>
      <c r="E41" s="31" t="s">
        <v>165</v>
      </c>
      <c r="F41" s="31"/>
      <c r="G41" s="31" t="s">
        <v>367</v>
      </c>
      <c r="H41" s="31" t="s">
        <v>92</v>
      </c>
      <c r="I41" s="30">
        <v>3852.19</v>
      </c>
      <c r="J41" s="30">
        <v>37150.400000000001</v>
      </c>
    </row>
    <row r="42" spans="2:10" ht="23.25" x14ac:dyDescent="0.25">
      <c r="B42" s="31" t="s">
        <v>223</v>
      </c>
      <c r="C42" s="31" t="s">
        <v>219</v>
      </c>
      <c r="D42" s="31" t="s">
        <v>218</v>
      </c>
      <c r="E42" s="31" t="s">
        <v>165</v>
      </c>
      <c r="F42" s="31" t="s">
        <v>220</v>
      </c>
      <c r="G42" s="31" t="s">
        <v>414</v>
      </c>
      <c r="H42" s="31" t="s">
        <v>7</v>
      </c>
      <c r="I42" s="30">
        <v>-1231.1300000000001</v>
      </c>
      <c r="J42" s="30">
        <v>35919.269999999997</v>
      </c>
    </row>
    <row r="43" spans="2:10" x14ac:dyDescent="0.25">
      <c r="B43" s="31" t="s">
        <v>242</v>
      </c>
      <c r="C43" s="31" t="s">
        <v>166</v>
      </c>
      <c r="D43" s="31"/>
      <c r="E43" s="31" t="s">
        <v>165</v>
      </c>
      <c r="F43" s="31"/>
      <c r="G43" s="31" t="s">
        <v>367</v>
      </c>
      <c r="H43" s="31" t="s">
        <v>92</v>
      </c>
      <c r="I43" s="30">
        <v>1341.52</v>
      </c>
      <c r="J43" s="30">
        <v>37260.79</v>
      </c>
    </row>
    <row r="44" spans="2:10" x14ac:dyDescent="0.25">
      <c r="B44" s="31" t="s">
        <v>242</v>
      </c>
      <c r="C44" s="31" t="s">
        <v>166</v>
      </c>
      <c r="D44" s="31"/>
      <c r="E44" s="31" t="s">
        <v>165</v>
      </c>
      <c r="F44" s="31"/>
      <c r="G44" s="31" t="s">
        <v>367</v>
      </c>
      <c r="H44" s="31" t="s">
        <v>92</v>
      </c>
      <c r="I44" s="30">
        <v>4170</v>
      </c>
      <c r="J44" s="30">
        <v>41430.79</v>
      </c>
    </row>
    <row r="45" spans="2:10" x14ac:dyDescent="0.25">
      <c r="B45" s="31" t="s">
        <v>242</v>
      </c>
      <c r="C45" s="31" t="s">
        <v>166</v>
      </c>
      <c r="D45" s="31"/>
      <c r="E45" s="31" t="s">
        <v>165</v>
      </c>
      <c r="F45" s="31"/>
      <c r="G45" s="31" t="s">
        <v>368</v>
      </c>
      <c r="H45" s="31" t="s">
        <v>92</v>
      </c>
      <c r="I45" s="30">
        <v>96.35</v>
      </c>
      <c r="J45" s="30">
        <v>41527.14</v>
      </c>
    </row>
    <row r="46" spans="2:10" x14ac:dyDescent="0.25">
      <c r="B46" s="31" t="s">
        <v>242</v>
      </c>
      <c r="C46" s="31" t="s">
        <v>184</v>
      </c>
      <c r="D46" s="31"/>
      <c r="E46" s="31" t="s">
        <v>165</v>
      </c>
      <c r="F46" s="31" t="s">
        <v>399</v>
      </c>
      <c r="G46" s="31" t="s">
        <v>456</v>
      </c>
      <c r="H46" s="31" t="s">
        <v>11</v>
      </c>
      <c r="I46" s="30">
        <v>-389.14</v>
      </c>
      <c r="J46" s="30">
        <v>41138</v>
      </c>
    </row>
    <row r="47" spans="2:10" x14ac:dyDescent="0.25">
      <c r="B47" s="31" t="s">
        <v>242</v>
      </c>
      <c r="C47" s="31" t="s">
        <v>166</v>
      </c>
      <c r="D47" s="31"/>
      <c r="E47" s="31" t="s">
        <v>165</v>
      </c>
      <c r="F47" s="31"/>
      <c r="G47" s="31" t="s">
        <v>370</v>
      </c>
      <c r="H47" s="31" t="s">
        <v>92</v>
      </c>
      <c r="I47" s="30">
        <v>486.14</v>
      </c>
      <c r="J47" s="30">
        <v>41624.14</v>
      </c>
    </row>
    <row r="48" spans="2:10" x14ac:dyDescent="0.25">
      <c r="B48" s="31" t="s">
        <v>242</v>
      </c>
      <c r="C48" s="31" t="s">
        <v>166</v>
      </c>
      <c r="D48" s="31"/>
      <c r="E48" s="31" t="s">
        <v>165</v>
      </c>
      <c r="F48" s="31"/>
      <c r="G48" s="31" t="s">
        <v>367</v>
      </c>
      <c r="H48" s="31" t="s">
        <v>92</v>
      </c>
      <c r="I48" s="30">
        <v>1059.25</v>
      </c>
      <c r="J48" s="30">
        <v>42683.39</v>
      </c>
    </row>
    <row r="49" spans="2:10" x14ac:dyDescent="0.25">
      <c r="B49" s="31" t="s">
        <v>242</v>
      </c>
      <c r="C49" s="31" t="s">
        <v>166</v>
      </c>
      <c r="D49" s="31"/>
      <c r="E49" s="31" t="s">
        <v>165</v>
      </c>
      <c r="F49" s="31"/>
      <c r="G49" s="31" t="s">
        <v>367</v>
      </c>
      <c r="H49" s="31" t="s">
        <v>92</v>
      </c>
      <c r="I49" s="30">
        <v>1466.58</v>
      </c>
      <c r="J49" s="30">
        <v>44149.97</v>
      </c>
    </row>
    <row r="50" spans="2:10" x14ac:dyDescent="0.25">
      <c r="B50" s="31" t="s">
        <v>242</v>
      </c>
      <c r="C50" s="31" t="s">
        <v>166</v>
      </c>
      <c r="D50" s="31"/>
      <c r="E50" s="31" t="s">
        <v>165</v>
      </c>
      <c r="F50" s="31"/>
      <c r="G50" s="31" t="s">
        <v>369</v>
      </c>
      <c r="H50" s="31" t="s">
        <v>92</v>
      </c>
      <c r="I50" s="30">
        <v>315.35000000000002</v>
      </c>
      <c r="J50" s="30">
        <v>44465.32</v>
      </c>
    </row>
    <row r="51" spans="2:10" x14ac:dyDescent="0.25">
      <c r="B51" s="31" t="s">
        <v>242</v>
      </c>
      <c r="C51" s="31" t="s">
        <v>166</v>
      </c>
      <c r="D51" s="31"/>
      <c r="E51" s="31" t="s">
        <v>165</v>
      </c>
      <c r="F51" s="31"/>
      <c r="G51" s="31" t="s">
        <v>368</v>
      </c>
      <c r="H51" s="31" t="s">
        <v>92</v>
      </c>
      <c r="I51" s="30">
        <v>385.4</v>
      </c>
      <c r="J51" s="30">
        <v>44850.720000000001</v>
      </c>
    </row>
    <row r="52" spans="2:10" x14ac:dyDescent="0.25">
      <c r="B52" s="31" t="s">
        <v>267</v>
      </c>
      <c r="C52" s="31" t="s">
        <v>166</v>
      </c>
      <c r="D52" s="31"/>
      <c r="E52" s="31" t="s">
        <v>165</v>
      </c>
      <c r="F52" s="31"/>
      <c r="G52" s="31" t="s">
        <v>367</v>
      </c>
      <c r="H52" s="31" t="s">
        <v>92</v>
      </c>
      <c r="I52" s="30">
        <v>1945.96</v>
      </c>
      <c r="J52" s="30">
        <v>46796.68</v>
      </c>
    </row>
    <row r="53" spans="2:10" x14ac:dyDescent="0.25">
      <c r="B53" s="31" t="s">
        <v>267</v>
      </c>
      <c r="C53" s="31" t="s">
        <v>166</v>
      </c>
      <c r="D53" s="31"/>
      <c r="E53" s="31" t="s">
        <v>165</v>
      </c>
      <c r="F53" s="31"/>
      <c r="G53" s="31" t="s">
        <v>373</v>
      </c>
      <c r="H53" s="31" t="s">
        <v>92</v>
      </c>
      <c r="I53" s="30">
        <v>901</v>
      </c>
      <c r="J53" s="30">
        <v>47697.68</v>
      </c>
    </row>
    <row r="54" spans="2:10" x14ac:dyDescent="0.25">
      <c r="B54" s="31" t="s">
        <v>267</v>
      </c>
      <c r="C54" s="31" t="s">
        <v>184</v>
      </c>
      <c r="D54" s="31"/>
      <c r="E54" s="31" t="s">
        <v>165</v>
      </c>
      <c r="F54" s="31" t="s">
        <v>266</v>
      </c>
      <c r="G54" s="31" t="s">
        <v>265</v>
      </c>
      <c r="H54" s="31" t="s">
        <v>455</v>
      </c>
      <c r="I54" s="30">
        <v>-3500</v>
      </c>
      <c r="J54" s="30">
        <v>44197.68</v>
      </c>
    </row>
    <row r="55" spans="2:10" x14ac:dyDescent="0.25">
      <c r="B55" s="31" t="s">
        <v>241</v>
      </c>
      <c r="C55" s="31" t="s">
        <v>166</v>
      </c>
      <c r="D55" s="31"/>
      <c r="E55" s="31" t="s">
        <v>165</v>
      </c>
      <c r="F55" s="31"/>
      <c r="G55" s="31" t="s">
        <v>368</v>
      </c>
      <c r="H55" s="31" t="s">
        <v>92</v>
      </c>
      <c r="I55" s="30">
        <v>72.23</v>
      </c>
      <c r="J55" s="30">
        <v>44269.91</v>
      </c>
    </row>
    <row r="56" spans="2:10" x14ac:dyDescent="0.25">
      <c r="B56" s="31" t="s">
        <v>241</v>
      </c>
      <c r="C56" s="31" t="s">
        <v>166</v>
      </c>
      <c r="D56" s="31"/>
      <c r="E56" s="31" t="s">
        <v>165</v>
      </c>
      <c r="F56" s="31"/>
      <c r="G56" s="31" t="s">
        <v>367</v>
      </c>
      <c r="H56" s="31" t="s">
        <v>92</v>
      </c>
      <c r="I56" s="30">
        <v>4742.0200000000004</v>
      </c>
      <c r="J56" s="30">
        <v>49011.93</v>
      </c>
    </row>
    <row r="57" spans="2:10" x14ac:dyDescent="0.25">
      <c r="B57" s="31" t="s">
        <v>241</v>
      </c>
      <c r="C57" s="31" t="s">
        <v>166</v>
      </c>
      <c r="D57" s="31"/>
      <c r="E57" s="31" t="s">
        <v>165</v>
      </c>
      <c r="F57" s="31"/>
      <c r="G57" s="31" t="s">
        <v>371</v>
      </c>
      <c r="H57" s="31" t="s">
        <v>92</v>
      </c>
      <c r="I57" s="30">
        <v>296.63</v>
      </c>
      <c r="J57" s="30">
        <v>49308.56</v>
      </c>
    </row>
    <row r="58" spans="2:10" x14ac:dyDescent="0.25">
      <c r="B58" s="31" t="s">
        <v>301</v>
      </c>
      <c r="C58" s="31" t="s">
        <v>166</v>
      </c>
      <c r="D58" s="31"/>
      <c r="E58" s="31" t="s">
        <v>165</v>
      </c>
      <c r="F58" s="31" t="s">
        <v>379</v>
      </c>
      <c r="G58" s="31" t="s">
        <v>378</v>
      </c>
      <c r="H58" s="31" t="s">
        <v>94</v>
      </c>
      <c r="I58" s="30">
        <v>410</v>
      </c>
      <c r="J58" s="30">
        <v>49718.559999999998</v>
      </c>
    </row>
    <row r="59" spans="2:10" x14ac:dyDescent="0.25">
      <c r="B59" s="31" t="s">
        <v>301</v>
      </c>
      <c r="C59" s="31" t="s">
        <v>166</v>
      </c>
      <c r="D59" s="31"/>
      <c r="E59" s="31" t="s">
        <v>165</v>
      </c>
      <c r="F59" s="31" t="s">
        <v>381</v>
      </c>
      <c r="G59" s="31" t="s">
        <v>380</v>
      </c>
      <c r="H59" s="31" t="s">
        <v>94</v>
      </c>
      <c r="I59" s="30">
        <v>220</v>
      </c>
      <c r="J59" s="30">
        <v>49938.559999999998</v>
      </c>
    </row>
    <row r="60" spans="2:10" x14ac:dyDescent="0.25">
      <c r="B60" s="31" t="s">
        <v>301</v>
      </c>
      <c r="C60" s="31" t="s">
        <v>184</v>
      </c>
      <c r="D60" s="31"/>
      <c r="E60" s="31" t="s">
        <v>165</v>
      </c>
      <c r="F60" s="31" t="s">
        <v>322</v>
      </c>
      <c r="G60" s="31" t="s">
        <v>321</v>
      </c>
      <c r="H60" s="31" t="s">
        <v>82</v>
      </c>
      <c r="I60" s="30">
        <v>-3858.33</v>
      </c>
      <c r="J60" s="30">
        <v>46080.23</v>
      </c>
    </row>
    <row r="61" spans="2:10" x14ac:dyDescent="0.25">
      <c r="B61" s="31" t="s">
        <v>301</v>
      </c>
      <c r="C61" s="31" t="s">
        <v>166</v>
      </c>
      <c r="D61" s="31"/>
      <c r="E61" s="31" t="s">
        <v>165</v>
      </c>
      <c r="F61" s="31"/>
      <c r="G61" s="31" t="s">
        <v>367</v>
      </c>
      <c r="H61" s="31" t="s">
        <v>92</v>
      </c>
      <c r="I61" s="30">
        <v>7713.16</v>
      </c>
      <c r="J61" s="30">
        <v>53793.39</v>
      </c>
    </row>
    <row r="62" spans="2:10" x14ac:dyDescent="0.25">
      <c r="B62" s="31" t="s">
        <v>301</v>
      </c>
      <c r="C62" s="31" t="s">
        <v>166</v>
      </c>
      <c r="D62" s="31"/>
      <c r="E62" s="31" t="s">
        <v>165</v>
      </c>
      <c r="F62" s="31"/>
      <c r="G62" s="31" t="s">
        <v>369</v>
      </c>
      <c r="H62" s="31" t="s">
        <v>92</v>
      </c>
      <c r="I62" s="30">
        <v>973</v>
      </c>
      <c r="J62" s="30">
        <v>54766.39</v>
      </c>
    </row>
    <row r="63" spans="2:10" x14ac:dyDescent="0.25">
      <c r="B63" s="31" t="s">
        <v>272</v>
      </c>
      <c r="C63" s="31" t="s">
        <v>166</v>
      </c>
      <c r="D63" s="31"/>
      <c r="E63" s="31" t="s">
        <v>165</v>
      </c>
      <c r="F63" s="31"/>
      <c r="G63" s="31" t="s">
        <v>367</v>
      </c>
      <c r="H63" s="31" t="s">
        <v>92</v>
      </c>
      <c r="I63" s="30">
        <v>2802.36</v>
      </c>
      <c r="J63" s="30">
        <v>57568.75</v>
      </c>
    </row>
    <row r="64" spans="2:10" x14ac:dyDescent="0.25">
      <c r="B64" s="31" t="s">
        <v>272</v>
      </c>
      <c r="C64" s="31" t="s">
        <v>184</v>
      </c>
      <c r="D64" s="31"/>
      <c r="E64" s="31" t="s">
        <v>165</v>
      </c>
      <c r="F64" s="31" t="s">
        <v>271</v>
      </c>
      <c r="G64" s="31" t="s">
        <v>270</v>
      </c>
      <c r="H64" s="31" t="s">
        <v>71</v>
      </c>
      <c r="I64" s="30">
        <v>-49.61</v>
      </c>
      <c r="J64" s="30">
        <v>57519.14</v>
      </c>
    </row>
    <row r="65" spans="2:10" x14ac:dyDescent="0.25">
      <c r="B65" s="31" t="s">
        <v>272</v>
      </c>
      <c r="C65" s="31" t="s">
        <v>166</v>
      </c>
      <c r="D65" s="31"/>
      <c r="E65" s="31" t="s">
        <v>165</v>
      </c>
      <c r="F65" s="31"/>
      <c r="G65" s="31" t="s">
        <v>367</v>
      </c>
      <c r="H65" s="31" t="s">
        <v>92</v>
      </c>
      <c r="I65" s="30">
        <v>1518.54</v>
      </c>
      <c r="J65" s="30">
        <v>59037.68</v>
      </c>
    </row>
    <row r="66" spans="2:10" x14ac:dyDescent="0.25">
      <c r="B66" s="31" t="s">
        <v>272</v>
      </c>
      <c r="C66" s="31" t="s">
        <v>166</v>
      </c>
      <c r="D66" s="31"/>
      <c r="E66" s="31" t="s">
        <v>165</v>
      </c>
      <c r="F66" s="31"/>
      <c r="G66" s="31" t="s">
        <v>372</v>
      </c>
      <c r="H66" s="31" t="s">
        <v>92</v>
      </c>
      <c r="I66" s="30">
        <v>1610.48</v>
      </c>
      <c r="J66" s="30">
        <v>60648.160000000003</v>
      </c>
    </row>
    <row r="67" spans="2:10" x14ac:dyDescent="0.25">
      <c r="B67" s="31" t="s">
        <v>272</v>
      </c>
      <c r="C67" s="31" t="s">
        <v>166</v>
      </c>
      <c r="D67" s="31"/>
      <c r="E67" s="31" t="s">
        <v>165</v>
      </c>
      <c r="F67" s="31"/>
      <c r="G67" s="31" t="s">
        <v>367</v>
      </c>
      <c r="H67" s="31" t="s">
        <v>92</v>
      </c>
      <c r="I67" s="30">
        <v>2123.52</v>
      </c>
      <c r="J67" s="30">
        <v>62771.68</v>
      </c>
    </row>
    <row r="68" spans="2:10" x14ac:dyDescent="0.25">
      <c r="B68" s="31" t="s">
        <v>201</v>
      </c>
      <c r="C68" s="31" t="s">
        <v>184</v>
      </c>
      <c r="D68" s="31"/>
      <c r="E68" s="31" t="s">
        <v>165</v>
      </c>
      <c r="F68" s="31" t="s">
        <v>200</v>
      </c>
      <c r="G68" s="31" t="s">
        <v>199</v>
      </c>
      <c r="H68" s="31" t="s">
        <v>50</v>
      </c>
      <c r="I68" s="30">
        <v>-313.38</v>
      </c>
      <c r="J68" s="30">
        <v>62458.3</v>
      </c>
    </row>
    <row r="69" spans="2:10" x14ac:dyDescent="0.25">
      <c r="B69" s="31" t="s">
        <v>201</v>
      </c>
      <c r="C69" s="31" t="s">
        <v>166</v>
      </c>
      <c r="D69" s="31"/>
      <c r="E69" s="31" t="s">
        <v>165</v>
      </c>
      <c r="F69" s="31"/>
      <c r="G69" s="31" t="s">
        <v>368</v>
      </c>
      <c r="H69" s="31" t="s">
        <v>92</v>
      </c>
      <c r="I69" s="30">
        <v>2137.33</v>
      </c>
      <c r="J69" s="30">
        <v>64595.63</v>
      </c>
    </row>
    <row r="70" spans="2:10" x14ac:dyDescent="0.25">
      <c r="B70" s="31" t="s">
        <v>201</v>
      </c>
      <c r="C70" s="31" t="s">
        <v>422</v>
      </c>
      <c r="D70" s="31"/>
      <c r="E70" s="31" t="s">
        <v>165</v>
      </c>
      <c r="F70" s="31" t="s">
        <v>164</v>
      </c>
      <c r="G70" s="31" t="s">
        <v>421</v>
      </c>
      <c r="H70" s="31" t="s">
        <v>12</v>
      </c>
      <c r="I70" s="30">
        <v>-19662.55</v>
      </c>
      <c r="J70" s="30">
        <v>44933.08</v>
      </c>
    </row>
    <row r="71" spans="2:10" x14ac:dyDescent="0.25">
      <c r="B71" s="31" t="s">
        <v>201</v>
      </c>
      <c r="C71" s="31" t="s">
        <v>422</v>
      </c>
      <c r="D71" s="31"/>
      <c r="E71" s="31" t="s">
        <v>165</v>
      </c>
      <c r="F71" s="31" t="s">
        <v>164</v>
      </c>
      <c r="G71" s="31" t="s">
        <v>433</v>
      </c>
      <c r="H71" s="31" t="s">
        <v>6</v>
      </c>
      <c r="I71" s="30">
        <v>-8045.88</v>
      </c>
      <c r="J71" s="30">
        <v>36887.199999999997</v>
      </c>
    </row>
    <row r="72" spans="2:10" x14ac:dyDescent="0.25">
      <c r="B72" s="31" t="s">
        <v>178</v>
      </c>
      <c r="C72" s="31" t="s">
        <v>166</v>
      </c>
      <c r="D72" s="31"/>
      <c r="E72" s="31" t="s">
        <v>165</v>
      </c>
      <c r="F72" s="31"/>
      <c r="G72" s="31" t="s">
        <v>367</v>
      </c>
      <c r="H72" s="31" t="s">
        <v>92</v>
      </c>
      <c r="I72" s="30">
        <v>1565.3</v>
      </c>
      <c r="J72" s="30">
        <v>38452.5</v>
      </c>
    </row>
    <row r="73" spans="2:10" x14ac:dyDescent="0.25">
      <c r="B73" s="31" t="s">
        <v>178</v>
      </c>
      <c r="C73" s="31" t="s">
        <v>166</v>
      </c>
      <c r="D73" s="31"/>
      <c r="E73" s="31" t="s">
        <v>165</v>
      </c>
      <c r="F73" s="31"/>
      <c r="G73" s="31" t="s">
        <v>370</v>
      </c>
      <c r="H73" s="31" t="s">
        <v>92</v>
      </c>
      <c r="I73" s="30">
        <v>176.58</v>
      </c>
      <c r="J73" s="30">
        <v>38629.08</v>
      </c>
    </row>
    <row r="74" spans="2:10" x14ac:dyDescent="0.25">
      <c r="B74" s="31" t="s">
        <v>237</v>
      </c>
      <c r="C74" s="31" t="s">
        <v>166</v>
      </c>
      <c r="D74" s="31"/>
      <c r="E74" s="31" t="s">
        <v>165</v>
      </c>
      <c r="F74" s="31"/>
      <c r="G74" s="31" t="s">
        <v>371</v>
      </c>
      <c r="H74" s="31" t="s">
        <v>92</v>
      </c>
      <c r="I74" s="30">
        <v>657</v>
      </c>
      <c r="J74" s="30">
        <v>39286.080000000002</v>
      </c>
    </row>
    <row r="75" spans="2:10" x14ac:dyDescent="0.25">
      <c r="B75" s="31" t="s">
        <v>237</v>
      </c>
      <c r="C75" s="31" t="s">
        <v>184</v>
      </c>
      <c r="D75" s="31"/>
      <c r="E75" s="31" t="s">
        <v>165</v>
      </c>
      <c r="F75" s="31" t="s">
        <v>236</v>
      </c>
      <c r="G75" s="31" t="s">
        <v>235</v>
      </c>
      <c r="H75" s="31" t="s">
        <v>424</v>
      </c>
      <c r="I75" s="30">
        <v>-16.989999999999998</v>
      </c>
      <c r="J75" s="30">
        <v>39269.089999999997</v>
      </c>
    </row>
    <row r="76" spans="2:10" x14ac:dyDescent="0.25">
      <c r="B76" s="31" t="s">
        <v>237</v>
      </c>
      <c r="C76" s="31" t="s">
        <v>166</v>
      </c>
      <c r="D76" s="31"/>
      <c r="E76" s="31" t="s">
        <v>165</v>
      </c>
      <c r="F76" s="31"/>
      <c r="G76" s="31" t="s">
        <v>367</v>
      </c>
      <c r="H76" s="31" t="s">
        <v>92</v>
      </c>
      <c r="I76" s="30">
        <v>406.06</v>
      </c>
      <c r="J76" s="30">
        <v>39675.15</v>
      </c>
    </row>
    <row r="77" spans="2:10" x14ac:dyDescent="0.25">
      <c r="B77" s="31" t="s">
        <v>173</v>
      </c>
      <c r="C77" s="31" t="s">
        <v>219</v>
      </c>
      <c r="D77" s="31" t="s">
        <v>218</v>
      </c>
      <c r="E77" s="31" t="s">
        <v>165</v>
      </c>
      <c r="F77" s="31" t="s">
        <v>221</v>
      </c>
      <c r="G77" s="31" t="s">
        <v>411</v>
      </c>
      <c r="H77" s="31" t="s">
        <v>7</v>
      </c>
      <c r="I77" s="30">
        <v>-2705.86</v>
      </c>
      <c r="J77" s="30">
        <v>36969.29</v>
      </c>
    </row>
    <row r="78" spans="2:10" x14ac:dyDescent="0.25">
      <c r="B78" s="31" t="s">
        <v>173</v>
      </c>
      <c r="C78" s="31" t="s">
        <v>443</v>
      </c>
      <c r="D78" s="31"/>
      <c r="E78" s="31" t="s">
        <v>165</v>
      </c>
      <c r="F78" s="31" t="s">
        <v>239</v>
      </c>
      <c r="G78" s="31" t="s">
        <v>442</v>
      </c>
      <c r="H78" s="31" t="s">
        <v>13</v>
      </c>
      <c r="I78" s="30">
        <v>244.91</v>
      </c>
      <c r="J78" s="30">
        <v>37214.199999999997</v>
      </c>
    </row>
    <row r="79" spans="2:10" x14ac:dyDescent="0.25">
      <c r="B79" s="31" t="s">
        <v>173</v>
      </c>
      <c r="C79" s="31" t="s">
        <v>166</v>
      </c>
      <c r="D79" s="31"/>
      <c r="E79" s="31" t="s">
        <v>165</v>
      </c>
      <c r="F79" s="31"/>
      <c r="G79" s="31" t="s">
        <v>370</v>
      </c>
      <c r="H79" s="31" t="s">
        <v>92</v>
      </c>
      <c r="I79" s="30">
        <v>388.74</v>
      </c>
      <c r="J79" s="30">
        <v>37602.94</v>
      </c>
    </row>
    <row r="80" spans="2:10" x14ac:dyDescent="0.25">
      <c r="B80" s="31" t="s">
        <v>173</v>
      </c>
      <c r="C80" s="31" t="s">
        <v>166</v>
      </c>
      <c r="D80" s="31"/>
      <c r="E80" s="31" t="s">
        <v>165</v>
      </c>
      <c r="F80" s="31"/>
      <c r="G80" s="31" t="s">
        <v>367</v>
      </c>
      <c r="H80" s="31" t="s">
        <v>92</v>
      </c>
      <c r="I80" s="30">
        <v>997.65</v>
      </c>
      <c r="J80" s="30">
        <v>38600.589999999997</v>
      </c>
    </row>
    <row r="81" spans="2:10" x14ac:dyDescent="0.25">
      <c r="B81" s="31" t="s">
        <v>173</v>
      </c>
      <c r="C81" s="31" t="s">
        <v>219</v>
      </c>
      <c r="D81" s="31" t="s">
        <v>218</v>
      </c>
      <c r="E81" s="31" t="s">
        <v>165</v>
      </c>
      <c r="F81" s="31" t="s">
        <v>217</v>
      </c>
      <c r="G81" s="31" t="s">
        <v>411</v>
      </c>
      <c r="H81" s="31" t="s">
        <v>7</v>
      </c>
      <c r="I81" s="30">
        <v>-1460.48</v>
      </c>
      <c r="J81" s="30">
        <v>37140.11</v>
      </c>
    </row>
    <row r="82" spans="2:10" x14ac:dyDescent="0.25">
      <c r="B82" s="31" t="s">
        <v>173</v>
      </c>
      <c r="C82" s="31" t="s">
        <v>219</v>
      </c>
      <c r="D82" s="31" t="s">
        <v>218</v>
      </c>
      <c r="E82" s="31" t="s">
        <v>165</v>
      </c>
      <c r="F82" s="31" t="s">
        <v>222</v>
      </c>
      <c r="G82" s="31" t="s">
        <v>411</v>
      </c>
      <c r="H82" s="31" t="s">
        <v>7</v>
      </c>
      <c r="I82" s="30">
        <v>-1254.94</v>
      </c>
      <c r="J82" s="30">
        <v>35885.17</v>
      </c>
    </row>
    <row r="83" spans="2:10" x14ac:dyDescent="0.25">
      <c r="B83" s="31" t="s">
        <v>173</v>
      </c>
      <c r="C83" s="31" t="s">
        <v>400</v>
      </c>
      <c r="D83" s="31"/>
      <c r="E83" s="31" t="s">
        <v>165</v>
      </c>
      <c r="F83" s="31" t="s">
        <v>239</v>
      </c>
      <c r="G83" s="31" t="s">
        <v>441</v>
      </c>
      <c r="H83" s="31" t="s">
        <v>13</v>
      </c>
      <c r="I83" s="30">
        <v>-1658.89</v>
      </c>
      <c r="J83" s="30">
        <v>34226.28</v>
      </c>
    </row>
    <row r="84" spans="2:10" x14ac:dyDescent="0.25">
      <c r="B84" s="31" t="s">
        <v>173</v>
      </c>
      <c r="C84" s="31" t="s">
        <v>166</v>
      </c>
      <c r="D84" s="31"/>
      <c r="E84" s="31" t="s">
        <v>165</v>
      </c>
      <c r="F84" s="31" t="s">
        <v>379</v>
      </c>
      <c r="G84" s="31" t="s">
        <v>378</v>
      </c>
      <c r="H84" s="31" t="s">
        <v>94</v>
      </c>
      <c r="I84" s="30">
        <v>80</v>
      </c>
      <c r="J84" s="30">
        <v>34306.28</v>
      </c>
    </row>
    <row r="85" spans="2:10" x14ac:dyDescent="0.25">
      <c r="B85" s="31" t="s">
        <v>173</v>
      </c>
      <c r="C85" s="31" t="s">
        <v>219</v>
      </c>
      <c r="D85" s="31" t="s">
        <v>218</v>
      </c>
      <c r="E85" s="31" t="s">
        <v>165</v>
      </c>
      <c r="F85" s="31" t="s">
        <v>220</v>
      </c>
      <c r="G85" s="31" t="s">
        <v>413</v>
      </c>
      <c r="H85" s="31" t="s">
        <v>7</v>
      </c>
      <c r="I85" s="30">
        <v>-1102.55</v>
      </c>
      <c r="J85" s="30">
        <v>33203.730000000003</v>
      </c>
    </row>
    <row r="86" spans="2:10" x14ac:dyDescent="0.25">
      <c r="B86" s="31" t="s">
        <v>232</v>
      </c>
      <c r="C86" s="31" t="s">
        <v>166</v>
      </c>
      <c r="D86" s="31"/>
      <c r="E86" s="31" t="s">
        <v>165</v>
      </c>
      <c r="F86" s="31"/>
      <c r="G86" s="31" t="s">
        <v>367</v>
      </c>
      <c r="H86" s="31" t="s">
        <v>92</v>
      </c>
      <c r="I86" s="30">
        <v>2273.6999999999998</v>
      </c>
      <c r="J86" s="30">
        <v>35477.43</v>
      </c>
    </row>
    <row r="87" spans="2:10" x14ac:dyDescent="0.25">
      <c r="B87" s="31" t="s">
        <v>232</v>
      </c>
      <c r="C87" s="31" t="s">
        <v>166</v>
      </c>
      <c r="D87" s="31"/>
      <c r="E87" s="31" t="s">
        <v>165</v>
      </c>
      <c r="F87" s="31"/>
      <c r="G87" s="31" t="s">
        <v>369</v>
      </c>
      <c r="H87" s="31" t="s">
        <v>92</v>
      </c>
      <c r="I87" s="30">
        <v>774.35</v>
      </c>
      <c r="J87" s="30">
        <v>36251.78</v>
      </c>
    </row>
    <row r="88" spans="2:10" x14ac:dyDescent="0.25">
      <c r="B88" s="31" t="s">
        <v>232</v>
      </c>
      <c r="C88" s="31" t="s">
        <v>166</v>
      </c>
      <c r="D88" s="31"/>
      <c r="E88" s="31" t="s">
        <v>165</v>
      </c>
      <c r="F88" s="31"/>
      <c r="G88" s="31" t="s">
        <v>369</v>
      </c>
      <c r="H88" s="31" t="s">
        <v>92</v>
      </c>
      <c r="I88" s="30">
        <v>2140.6</v>
      </c>
      <c r="J88" s="30">
        <v>38392.379999999997</v>
      </c>
    </row>
    <row r="89" spans="2:10" x14ac:dyDescent="0.25">
      <c r="B89" s="31" t="s">
        <v>232</v>
      </c>
      <c r="C89" s="31" t="s">
        <v>166</v>
      </c>
      <c r="D89" s="31"/>
      <c r="E89" s="31" t="s">
        <v>165</v>
      </c>
      <c r="F89" s="31" t="s">
        <v>258</v>
      </c>
      <c r="G89" s="31" t="s">
        <v>368</v>
      </c>
      <c r="H89" s="31" t="s">
        <v>92</v>
      </c>
      <c r="I89" s="30">
        <v>168.58</v>
      </c>
      <c r="J89" s="30">
        <v>38560.959999999999</v>
      </c>
    </row>
    <row r="90" spans="2:10" x14ac:dyDescent="0.25">
      <c r="B90" s="31" t="s">
        <v>232</v>
      </c>
      <c r="C90" s="31" t="s">
        <v>422</v>
      </c>
      <c r="D90" s="31"/>
      <c r="E90" s="31" t="s">
        <v>165</v>
      </c>
      <c r="F90" s="31"/>
      <c r="G90" s="31" t="s">
        <v>421</v>
      </c>
      <c r="H90" s="31" t="s">
        <v>12</v>
      </c>
      <c r="I90" s="30">
        <v>-1666.07</v>
      </c>
      <c r="J90" s="30">
        <v>36894.89</v>
      </c>
    </row>
    <row r="91" spans="2:10" x14ac:dyDescent="0.25">
      <c r="B91" s="31" t="s">
        <v>232</v>
      </c>
      <c r="C91" s="31" t="s">
        <v>166</v>
      </c>
      <c r="D91" s="31"/>
      <c r="E91" s="31" t="s">
        <v>165</v>
      </c>
      <c r="F91" s="31"/>
      <c r="G91" s="31" t="s">
        <v>367</v>
      </c>
      <c r="H91" s="31" t="s">
        <v>92</v>
      </c>
      <c r="I91" s="30">
        <v>2650.35</v>
      </c>
      <c r="J91" s="30">
        <v>39545.24</v>
      </c>
    </row>
    <row r="92" spans="2:10" x14ac:dyDescent="0.25">
      <c r="B92" s="31" t="s">
        <v>232</v>
      </c>
      <c r="C92" s="31" t="s">
        <v>166</v>
      </c>
      <c r="D92" s="31"/>
      <c r="E92" s="31" t="s">
        <v>165</v>
      </c>
      <c r="F92" s="31"/>
      <c r="G92" s="31" t="s">
        <v>367</v>
      </c>
      <c r="H92" s="31" t="s">
        <v>92</v>
      </c>
      <c r="I92" s="30">
        <v>721.21</v>
      </c>
      <c r="J92" s="30">
        <v>40266.449999999997</v>
      </c>
    </row>
    <row r="93" spans="2:10" x14ac:dyDescent="0.25">
      <c r="B93" s="31" t="s">
        <v>296</v>
      </c>
      <c r="C93" s="31" t="s">
        <v>184</v>
      </c>
      <c r="D93" s="31"/>
      <c r="E93" s="31" t="s">
        <v>165</v>
      </c>
      <c r="F93" s="31" t="s">
        <v>164</v>
      </c>
      <c r="G93" s="31" t="s">
        <v>389</v>
      </c>
      <c r="H93" s="31" t="s">
        <v>20</v>
      </c>
      <c r="I93" s="30">
        <v>-2284.29</v>
      </c>
      <c r="J93" s="30">
        <v>37982.160000000003</v>
      </c>
    </row>
    <row r="94" spans="2:10" x14ac:dyDescent="0.25">
      <c r="B94" s="31" t="s">
        <v>296</v>
      </c>
      <c r="C94" s="31" t="s">
        <v>166</v>
      </c>
      <c r="D94" s="31"/>
      <c r="E94" s="31" t="s">
        <v>165</v>
      </c>
      <c r="F94" s="31" t="s">
        <v>258</v>
      </c>
      <c r="G94" s="31" t="s">
        <v>368</v>
      </c>
      <c r="H94" s="31" t="s">
        <v>92</v>
      </c>
      <c r="I94" s="30">
        <v>96.35</v>
      </c>
      <c r="J94" s="30">
        <v>38078.51</v>
      </c>
    </row>
    <row r="95" spans="2:10" x14ac:dyDescent="0.25">
      <c r="B95" s="31" t="s">
        <v>296</v>
      </c>
      <c r="C95" s="31" t="s">
        <v>166</v>
      </c>
      <c r="D95" s="31"/>
      <c r="E95" s="31" t="s">
        <v>165</v>
      </c>
      <c r="F95" s="31"/>
      <c r="G95" s="31" t="s">
        <v>367</v>
      </c>
      <c r="H95" s="31" t="s">
        <v>92</v>
      </c>
      <c r="I95" s="30">
        <v>96.2</v>
      </c>
      <c r="J95" s="30">
        <v>38174.71</v>
      </c>
    </row>
    <row r="96" spans="2:10" x14ac:dyDescent="0.25">
      <c r="B96" s="31" t="s">
        <v>254</v>
      </c>
      <c r="C96" s="31" t="s">
        <v>166</v>
      </c>
      <c r="D96" s="31"/>
      <c r="E96" s="31" t="s">
        <v>165</v>
      </c>
      <c r="F96" s="31"/>
      <c r="G96" s="31" t="s">
        <v>367</v>
      </c>
      <c r="H96" s="31" t="s">
        <v>92</v>
      </c>
      <c r="I96" s="30">
        <v>1066.01</v>
      </c>
      <c r="J96" s="30">
        <v>39240.720000000001</v>
      </c>
    </row>
    <row r="97" spans="1:10" x14ac:dyDescent="0.25">
      <c r="B97" s="31" t="s">
        <v>334</v>
      </c>
      <c r="C97" s="31" t="s">
        <v>166</v>
      </c>
      <c r="D97" s="31"/>
      <c r="E97" s="31" t="s">
        <v>165</v>
      </c>
      <c r="F97" s="31"/>
      <c r="G97" s="31" t="s">
        <v>367</v>
      </c>
      <c r="H97" s="31" t="s">
        <v>92</v>
      </c>
      <c r="I97" s="30">
        <v>560.88</v>
      </c>
      <c r="J97" s="30">
        <v>39801.599999999999</v>
      </c>
    </row>
    <row r="98" spans="1:10" x14ac:dyDescent="0.25">
      <c r="B98" s="31" t="s">
        <v>167</v>
      </c>
      <c r="C98" s="31" t="s">
        <v>166</v>
      </c>
      <c r="D98" s="31"/>
      <c r="E98" s="31" t="s">
        <v>165</v>
      </c>
      <c r="F98" s="31"/>
      <c r="G98" s="31" t="s">
        <v>367</v>
      </c>
      <c r="H98" s="31" t="s">
        <v>92</v>
      </c>
      <c r="I98" s="30">
        <v>2886.72</v>
      </c>
      <c r="J98" s="30">
        <v>42688.32</v>
      </c>
    </row>
    <row r="99" spans="1:10" x14ac:dyDescent="0.25">
      <c r="B99" s="31" t="s">
        <v>167</v>
      </c>
      <c r="C99" s="31" t="s">
        <v>166</v>
      </c>
      <c r="D99" s="31"/>
      <c r="E99" s="31" t="s">
        <v>165</v>
      </c>
      <c r="F99" s="31" t="s">
        <v>379</v>
      </c>
      <c r="G99" s="31" t="s">
        <v>378</v>
      </c>
      <c r="H99" s="31" t="s">
        <v>94</v>
      </c>
      <c r="I99" s="30">
        <v>110</v>
      </c>
      <c r="J99" s="30">
        <v>42798.32</v>
      </c>
    </row>
    <row r="100" spans="1:10" x14ac:dyDescent="0.25">
      <c r="B100" s="31" t="s">
        <v>167</v>
      </c>
      <c r="C100" s="31" t="s">
        <v>166</v>
      </c>
      <c r="D100" s="31"/>
      <c r="E100" s="31" t="s">
        <v>165</v>
      </c>
      <c r="F100" s="31" t="s">
        <v>258</v>
      </c>
      <c r="G100" s="31" t="s">
        <v>368</v>
      </c>
      <c r="H100" s="31" t="s">
        <v>92</v>
      </c>
      <c r="I100" s="30">
        <v>192.7</v>
      </c>
      <c r="J100" s="30">
        <v>42991.02</v>
      </c>
    </row>
    <row r="101" spans="1:10" x14ac:dyDescent="0.25">
      <c r="B101" s="31" t="s">
        <v>167</v>
      </c>
      <c r="C101" s="31" t="s">
        <v>166</v>
      </c>
      <c r="D101" s="31"/>
      <c r="E101" s="31" t="s">
        <v>165</v>
      </c>
      <c r="F101" s="31" t="s">
        <v>164</v>
      </c>
      <c r="G101" s="31" t="s">
        <v>163</v>
      </c>
      <c r="H101" s="31" t="s">
        <v>454</v>
      </c>
      <c r="I101" s="30">
        <v>44.03</v>
      </c>
      <c r="J101" s="30">
        <v>43035.05</v>
      </c>
    </row>
    <row r="102" spans="1:10" x14ac:dyDescent="0.25">
      <c r="A102" s="29" t="s">
        <v>453</v>
      </c>
      <c r="I102" s="28">
        <v>13719.11</v>
      </c>
    </row>
    <row r="103" spans="1:10" x14ac:dyDescent="0.25">
      <c r="A103" s="29" t="s">
        <v>147</v>
      </c>
    </row>
    <row r="104" spans="1:10" x14ac:dyDescent="0.25">
      <c r="A104" s="29" t="s">
        <v>452</v>
      </c>
    </row>
    <row r="105" spans="1:10" x14ac:dyDescent="0.25">
      <c r="B105" s="31" t="s">
        <v>160</v>
      </c>
      <c r="J105" s="30">
        <v>-25263.16</v>
      </c>
    </row>
    <row r="106" spans="1:10" x14ac:dyDescent="0.25">
      <c r="A106" s="29" t="s">
        <v>451</v>
      </c>
      <c r="I106" s="28" t="s">
        <v>158</v>
      </c>
    </row>
    <row r="107" spans="1:10" x14ac:dyDescent="0.25">
      <c r="A107" s="29" t="s">
        <v>450</v>
      </c>
    </row>
    <row r="108" spans="1:10" x14ac:dyDescent="0.25">
      <c r="B108" s="31" t="s">
        <v>160</v>
      </c>
      <c r="J108" s="30">
        <v>80000</v>
      </c>
    </row>
    <row r="109" spans="1:10" x14ac:dyDescent="0.25">
      <c r="A109" s="29" t="s">
        <v>449</v>
      </c>
      <c r="I109" s="28" t="s">
        <v>158</v>
      </c>
    </row>
    <row r="110" spans="1:10" x14ac:dyDescent="0.25">
      <c r="A110" s="29" t="s">
        <v>144</v>
      </c>
      <c r="I110" s="28"/>
    </row>
    <row r="111" spans="1:10" x14ac:dyDescent="0.25">
      <c r="A111" s="29" t="s">
        <v>143</v>
      </c>
    </row>
    <row r="112" spans="1:10" x14ac:dyDescent="0.25">
      <c r="A112" s="29" t="s">
        <v>448</v>
      </c>
    </row>
    <row r="113" spans="1:10" x14ac:dyDescent="0.25">
      <c r="B113" s="31" t="s">
        <v>160</v>
      </c>
      <c r="J113" s="30">
        <v>15772.74</v>
      </c>
    </row>
    <row r="114" spans="1:10" x14ac:dyDescent="0.25">
      <c r="A114" s="29" t="s">
        <v>447</v>
      </c>
      <c r="I114" s="28" t="s">
        <v>158</v>
      </c>
    </row>
    <row r="115" spans="1:10" x14ac:dyDescent="0.25">
      <c r="A115" s="29" t="s">
        <v>446</v>
      </c>
    </row>
    <row r="116" spans="1:10" x14ac:dyDescent="0.25">
      <c r="B116" s="31" t="s">
        <v>160</v>
      </c>
      <c r="J116" s="30">
        <v>17036.07</v>
      </c>
    </row>
    <row r="117" spans="1:10" x14ac:dyDescent="0.25">
      <c r="A117" s="29" t="s">
        <v>445</v>
      </c>
      <c r="I117" s="28" t="s">
        <v>158</v>
      </c>
    </row>
    <row r="118" spans="1:10" x14ac:dyDescent="0.25">
      <c r="A118" s="29" t="s">
        <v>140</v>
      </c>
      <c r="I118" s="28"/>
    </row>
    <row r="119" spans="1:10" x14ac:dyDescent="0.25">
      <c r="A119" s="29" t="s">
        <v>13</v>
      </c>
    </row>
    <row r="120" spans="1:10" x14ac:dyDescent="0.25">
      <c r="B120" s="31" t="s">
        <v>178</v>
      </c>
      <c r="C120" s="31" t="s">
        <v>401</v>
      </c>
      <c r="D120" s="31"/>
      <c r="E120" s="31" t="s">
        <v>165</v>
      </c>
      <c r="F120" s="31"/>
      <c r="G120" s="31" t="s">
        <v>444</v>
      </c>
      <c r="H120" s="32" t="s">
        <v>364</v>
      </c>
      <c r="I120" s="30">
        <v>1896.82</v>
      </c>
      <c r="J120" s="30">
        <v>1896.82</v>
      </c>
    </row>
    <row r="121" spans="1:10" x14ac:dyDescent="0.25">
      <c r="B121" s="31" t="s">
        <v>173</v>
      </c>
      <c r="C121" s="31" t="s">
        <v>443</v>
      </c>
      <c r="D121" s="31"/>
      <c r="E121" s="31" t="s">
        <v>165</v>
      </c>
      <c r="F121" s="31" t="s">
        <v>239</v>
      </c>
      <c r="G121" s="31" t="s">
        <v>442</v>
      </c>
      <c r="H121" s="31" t="s">
        <v>151</v>
      </c>
      <c r="I121" s="30">
        <v>-244.91</v>
      </c>
      <c r="J121" s="30">
        <v>1651.91</v>
      </c>
    </row>
    <row r="122" spans="1:10" x14ac:dyDescent="0.25">
      <c r="B122" s="31" t="s">
        <v>173</v>
      </c>
      <c r="C122" s="31" t="s">
        <v>400</v>
      </c>
      <c r="D122" s="31"/>
      <c r="E122" s="31" t="s">
        <v>165</v>
      </c>
      <c r="F122" s="31" t="s">
        <v>239</v>
      </c>
      <c r="G122" s="31" t="s">
        <v>441</v>
      </c>
      <c r="H122" s="31" t="s">
        <v>151</v>
      </c>
      <c r="I122" s="30">
        <v>1658.89</v>
      </c>
      <c r="J122" s="30">
        <v>3310.8</v>
      </c>
    </row>
    <row r="123" spans="1:10" x14ac:dyDescent="0.25">
      <c r="B123" s="31" t="s">
        <v>167</v>
      </c>
      <c r="C123" s="31" t="s">
        <v>400</v>
      </c>
      <c r="D123" s="31"/>
      <c r="E123" s="31" t="s">
        <v>165</v>
      </c>
      <c r="F123" s="31" t="s">
        <v>399</v>
      </c>
      <c r="G123" s="31" t="s">
        <v>440</v>
      </c>
      <c r="H123" s="31" t="s">
        <v>11</v>
      </c>
      <c r="I123" s="30">
        <v>-149.13999999999999</v>
      </c>
      <c r="J123" s="30">
        <v>3161.66</v>
      </c>
    </row>
    <row r="124" spans="1:10" x14ac:dyDescent="0.25">
      <c r="B124" s="31" t="s">
        <v>167</v>
      </c>
      <c r="C124" s="31" t="s">
        <v>365</v>
      </c>
      <c r="D124" s="31">
        <v>44</v>
      </c>
      <c r="E124" s="31" t="s">
        <v>165</v>
      </c>
      <c r="F124" s="31"/>
      <c r="G124" s="31" t="s">
        <v>393</v>
      </c>
      <c r="H124" s="32" t="s">
        <v>364</v>
      </c>
      <c r="I124" s="30">
        <v>244.91</v>
      </c>
      <c r="J124" s="30">
        <v>3406.57</v>
      </c>
    </row>
    <row r="125" spans="1:10" x14ac:dyDescent="0.25">
      <c r="A125" s="29" t="s">
        <v>439</v>
      </c>
      <c r="I125" s="28">
        <v>3406.57</v>
      </c>
    </row>
    <row r="126" spans="1:10" x14ac:dyDescent="0.25">
      <c r="A126" s="29" t="s">
        <v>136</v>
      </c>
    </row>
    <row r="127" spans="1:10" x14ac:dyDescent="0.25">
      <c r="A127" s="29" t="s">
        <v>438</v>
      </c>
    </row>
    <row r="128" spans="1:10" x14ac:dyDescent="0.25">
      <c r="B128" s="31" t="s">
        <v>160</v>
      </c>
      <c r="J128" s="30">
        <v>-16864.419999999998</v>
      </c>
    </row>
    <row r="129" spans="1:10" x14ac:dyDescent="0.25">
      <c r="A129" s="29" t="s">
        <v>437</v>
      </c>
      <c r="I129" s="28" t="s">
        <v>158</v>
      </c>
    </row>
    <row r="130" spans="1:10" x14ac:dyDescent="0.25">
      <c r="A130" s="29" t="s">
        <v>436</v>
      </c>
    </row>
    <row r="131" spans="1:10" x14ac:dyDescent="0.25">
      <c r="B131" s="31" t="s">
        <v>160</v>
      </c>
      <c r="J131" s="30">
        <v>53404</v>
      </c>
    </row>
    <row r="132" spans="1:10" x14ac:dyDescent="0.25">
      <c r="A132" s="29" t="s">
        <v>435</v>
      </c>
      <c r="I132" s="28" t="s">
        <v>158</v>
      </c>
    </row>
    <row r="133" spans="1:10" x14ac:dyDescent="0.25">
      <c r="A133" s="29" t="s">
        <v>133</v>
      </c>
      <c r="I133" s="28"/>
    </row>
    <row r="134" spans="1:10" x14ac:dyDescent="0.25">
      <c r="A134" s="29" t="s">
        <v>6</v>
      </c>
    </row>
    <row r="135" spans="1:10" x14ac:dyDescent="0.25">
      <c r="B135" s="31" t="s">
        <v>202</v>
      </c>
      <c r="J135" s="30">
        <v>2420.75</v>
      </c>
    </row>
    <row r="136" spans="1:10" x14ac:dyDescent="0.25">
      <c r="B136" s="31" t="s">
        <v>318</v>
      </c>
      <c r="C136" s="31" t="s">
        <v>172</v>
      </c>
      <c r="D136" s="31"/>
      <c r="E136" s="31" t="s">
        <v>165</v>
      </c>
      <c r="F136" s="31" t="s">
        <v>355</v>
      </c>
      <c r="G136" s="31" t="s">
        <v>354</v>
      </c>
      <c r="H136" s="31" t="s">
        <v>418</v>
      </c>
      <c r="I136" s="30">
        <v>-215.49</v>
      </c>
      <c r="J136" s="30">
        <v>2205.2600000000002</v>
      </c>
    </row>
    <row r="137" spans="1:10" x14ac:dyDescent="0.25">
      <c r="B137" s="31" t="s">
        <v>318</v>
      </c>
      <c r="C137" s="31" t="s">
        <v>184</v>
      </c>
      <c r="D137" s="31"/>
      <c r="E137" s="31" t="s">
        <v>165</v>
      </c>
      <c r="F137" s="31" t="s">
        <v>391</v>
      </c>
      <c r="G137" s="31" t="s">
        <v>390</v>
      </c>
      <c r="H137" s="31" t="s">
        <v>20</v>
      </c>
      <c r="I137" s="30">
        <v>296.23</v>
      </c>
      <c r="J137" s="30">
        <v>2501.4899999999998</v>
      </c>
    </row>
    <row r="138" spans="1:10" x14ac:dyDescent="0.25">
      <c r="B138" s="31" t="s">
        <v>245</v>
      </c>
      <c r="C138" s="31" t="s">
        <v>184</v>
      </c>
      <c r="D138" s="31"/>
      <c r="E138" s="31" t="s">
        <v>165</v>
      </c>
      <c r="F138" s="31" t="s">
        <v>244</v>
      </c>
      <c r="G138" s="31" t="s">
        <v>243</v>
      </c>
      <c r="H138" s="31" t="s">
        <v>424</v>
      </c>
      <c r="I138" s="30">
        <v>20</v>
      </c>
      <c r="J138" s="30">
        <v>2521.4899999999998</v>
      </c>
    </row>
    <row r="139" spans="1:10" x14ac:dyDescent="0.25">
      <c r="B139" s="31" t="s">
        <v>305</v>
      </c>
      <c r="C139" s="31" t="s">
        <v>184</v>
      </c>
      <c r="D139" s="31"/>
      <c r="E139" s="31" t="s">
        <v>165</v>
      </c>
      <c r="F139" s="31" t="s">
        <v>387</v>
      </c>
      <c r="G139" s="31" t="s">
        <v>386</v>
      </c>
      <c r="H139" s="31" t="s">
        <v>21</v>
      </c>
      <c r="I139" s="30">
        <v>124.04</v>
      </c>
      <c r="J139" s="30">
        <v>2645.53</v>
      </c>
    </row>
    <row r="140" spans="1:10" x14ac:dyDescent="0.25">
      <c r="B140" s="31" t="s">
        <v>192</v>
      </c>
      <c r="C140" s="31" t="s">
        <v>184</v>
      </c>
      <c r="D140" s="31"/>
      <c r="E140" s="31" t="s">
        <v>165</v>
      </c>
      <c r="F140" s="31" t="s">
        <v>191</v>
      </c>
      <c r="G140" s="31" t="s">
        <v>190</v>
      </c>
      <c r="H140" s="31" t="s">
        <v>426</v>
      </c>
      <c r="I140" s="30">
        <v>247.36</v>
      </c>
      <c r="J140" s="30">
        <v>2892.89</v>
      </c>
    </row>
    <row r="141" spans="1:10" x14ac:dyDescent="0.25">
      <c r="B141" s="31" t="s">
        <v>242</v>
      </c>
      <c r="C141" s="31" t="s">
        <v>184</v>
      </c>
      <c r="D141" s="31"/>
      <c r="E141" s="31" t="s">
        <v>165</v>
      </c>
      <c r="F141" s="31" t="s">
        <v>350</v>
      </c>
      <c r="G141" s="31" t="s">
        <v>349</v>
      </c>
      <c r="H141" s="31" t="s">
        <v>418</v>
      </c>
      <c r="I141" s="30">
        <v>1968</v>
      </c>
      <c r="J141" s="30">
        <v>4860.8900000000003</v>
      </c>
    </row>
    <row r="142" spans="1:10" x14ac:dyDescent="0.25">
      <c r="B142" s="31" t="s">
        <v>241</v>
      </c>
      <c r="C142" s="31" t="s">
        <v>184</v>
      </c>
      <c r="D142" s="31"/>
      <c r="E142" s="31" t="s">
        <v>165</v>
      </c>
      <c r="F142" s="31" t="s">
        <v>324</v>
      </c>
      <c r="G142" s="31" t="s">
        <v>323</v>
      </c>
      <c r="H142" s="31" t="s">
        <v>82</v>
      </c>
      <c r="I142" s="30">
        <v>3000</v>
      </c>
      <c r="J142" s="30">
        <v>7860.89</v>
      </c>
    </row>
    <row r="143" spans="1:10" x14ac:dyDescent="0.25">
      <c r="B143" s="31" t="s">
        <v>240</v>
      </c>
      <c r="C143" s="31" t="s">
        <v>184</v>
      </c>
      <c r="D143" s="31"/>
      <c r="E143" s="31" t="s">
        <v>165</v>
      </c>
      <c r="F143" s="31" t="s">
        <v>258</v>
      </c>
      <c r="G143" s="31" t="s">
        <v>257</v>
      </c>
      <c r="H143" s="31" t="s">
        <v>434</v>
      </c>
      <c r="I143" s="30">
        <v>184.99</v>
      </c>
      <c r="J143" s="30">
        <v>8045.88</v>
      </c>
    </row>
    <row r="144" spans="1:10" x14ac:dyDescent="0.25">
      <c r="B144" s="31" t="s">
        <v>201</v>
      </c>
      <c r="C144" s="31" t="s">
        <v>422</v>
      </c>
      <c r="D144" s="31"/>
      <c r="E144" s="31" t="s">
        <v>165</v>
      </c>
      <c r="F144" s="31" t="s">
        <v>164</v>
      </c>
      <c r="G144" s="31" t="s">
        <v>433</v>
      </c>
      <c r="H144" s="31" t="s">
        <v>151</v>
      </c>
      <c r="I144" s="30">
        <v>-8045.88</v>
      </c>
      <c r="J144" s="30">
        <v>0</v>
      </c>
    </row>
    <row r="145" spans="1:10" x14ac:dyDescent="0.25">
      <c r="B145" s="31" t="s">
        <v>178</v>
      </c>
      <c r="C145" s="31" t="s">
        <v>172</v>
      </c>
      <c r="D145" s="31"/>
      <c r="E145" s="31" t="s">
        <v>165</v>
      </c>
      <c r="F145" s="31" t="s">
        <v>177</v>
      </c>
      <c r="G145" s="31" t="s">
        <v>176</v>
      </c>
      <c r="H145" s="31" t="s">
        <v>432</v>
      </c>
      <c r="I145" s="30">
        <v>-83.23</v>
      </c>
      <c r="J145" s="30">
        <v>-83.23</v>
      </c>
    </row>
    <row r="146" spans="1:10" x14ac:dyDescent="0.25">
      <c r="B146" s="31" t="s">
        <v>237</v>
      </c>
      <c r="C146" s="31" t="s">
        <v>184</v>
      </c>
      <c r="D146" s="31"/>
      <c r="E146" s="31" t="s">
        <v>165</v>
      </c>
      <c r="F146" s="31" t="s">
        <v>298</v>
      </c>
      <c r="G146" s="31" t="s">
        <v>297</v>
      </c>
      <c r="H146" s="31" t="s">
        <v>420</v>
      </c>
      <c r="I146" s="30">
        <v>0.75</v>
      </c>
      <c r="J146" s="30">
        <v>-82.48</v>
      </c>
    </row>
    <row r="147" spans="1:10" x14ac:dyDescent="0.25">
      <c r="B147" s="31" t="s">
        <v>232</v>
      </c>
      <c r="C147" s="31" t="s">
        <v>184</v>
      </c>
      <c r="D147" s="31"/>
      <c r="E147" s="31" t="s">
        <v>165</v>
      </c>
      <c r="F147" s="31" t="s">
        <v>231</v>
      </c>
      <c r="G147" s="31" t="s">
        <v>230</v>
      </c>
      <c r="H147" s="31" t="s">
        <v>424</v>
      </c>
      <c r="I147" s="30">
        <v>59.74</v>
      </c>
      <c r="J147" s="30">
        <v>-22.74</v>
      </c>
    </row>
    <row r="148" spans="1:10" x14ac:dyDescent="0.25">
      <c r="A148" s="29" t="s">
        <v>431</v>
      </c>
      <c r="I148" s="28">
        <v>-2443.4899999999998</v>
      </c>
    </row>
    <row r="149" spans="1:10" x14ac:dyDescent="0.25">
      <c r="A149" s="29" t="s">
        <v>12</v>
      </c>
    </row>
    <row r="150" spans="1:10" x14ac:dyDescent="0.25">
      <c r="B150" s="31" t="s">
        <v>202</v>
      </c>
      <c r="J150" s="30">
        <v>1228.19</v>
      </c>
    </row>
    <row r="151" spans="1:10" x14ac:dyDescent="0.25">
      <c r="B151" s="31" t="s">
        <v>318</v>
      </c>
      <c r="C151" s="31" t="s">
        <v>184</v>
      </c>
      <c r="D151" s="31"/>
      <c r="E151" s="31" t="s">
        <v>165</v>
      </c>
      <c r="F151" s="31" t="s">
        <v>331</v>
      </c>
      <c r="G151" s="31" t="s">
        <v>339</v>
      </c>
      <c r="H151" s="31" t="s">
        <v>418</v>
      </c>
      <c r="I151" s="30">
        <v>63.74</v>
      </c>
      <c r="J151" s="30">
        <v>1291.93</v>
      </c>
    </row>
    <row r="152" spans="1:10" x14ac:dyDescent="0.25">
      <c r="B152" s="31" t="s">
        <v>318</v>
      </c>
      <c r="C152" s="31" t="s">
        <v>184</v>
      </c>
      <c r="D152" s="31"/>
      <c r="E152" s="31" t="s">
        <v>165</v>
      </c>
      <c r="F152" s="31" t="s">
        <v>333</v>
      </c>
      <c r="G152" s="31" t="s">
        <v>335</v>
      </c>
      <c r="H152" s="31" t="s">
        <v>418</v>
      </c>
      <c r="I152" s="30">
        <v>10.76</v>
      </c>
      <c r="J152" s="30">
        <v>1302.69</v>
      </c>
    </row>
    <row r="153" spans="1:10" x14ac:dyDescent="0.25">
      <c r="B153" s="31" t="s">
        <v>318</v>
      </c>
      <c r="C153" s="31" t="s">
        <v>184</v>
      </c>
      <c r="D153" s="31"/>
      <c r="E153" s="31" t="s">
        <v>165</v>
      </c>
      <c r="F153" s="31" t="s">
        <v>298</v>
      </c>
      <c r="G153" s="31" t="s">
        <v>317</v>
      </c>
      <c r="H153" s="31" t="s">
        <v>420</v>
      </c>
      <c r="I153" s="30">
        <v>61.2</v>
      </c>
      <c r="J153" s="30">
        <v>1363.89</v>
      </c>
    </row>
    <row r="154" spans="1:10" x14ac:dyDescent="0.25">
      <c r="B154" s="31" t="s">
        <v>194</v>
      </c>
      <c r="C154" s="31" t="s">
        <v>184</v>
      </c>
      <c r="D154" s="31"/>
      <c r="E154" s="31" t="s">
        <v>165</v>
      </c>
      <c r="F154" s="31" t="s">
        <v>277</v>
      </c>
      <c r="G154" s="31" t="s">
        <v>276</v>
      </c>
      <c r="H154" s="31" t="s">
        <v>428</v>
      </c>
      <c r="I154" s="30">
        <v>456.65</v>
      </c>
      <c r="J154" s="30">
        <v>1820.54</v>
      </c>
    </row>
    <row r="155" spans="1:10" x14ac:dyDescent="0.25">
      <c r="B155" s="31" t="s">
        <v>194</v>
      </c>
      <c r="C155" s="31" t="s">
        <v>184</v>
      </c>
      <c r="D155" s="31"/>
      <c r="E155" s="31" t="s">
        <v>165</v>
      </c>
      <c r="F155" s="31" t="s">
        <v>189</v>
      </c>
      <c r="G155" s="31" t="s">
        <v>193</v>
      </c>
      <c r="H155" s="31" t="s">
        <v>426</v>
      </c>
      <c r="I155" s="30">
        <v>228.38</v>
      </c>
      <c r="J155" s="30">
        <v>2048.92</v>
      </c>
    </row>
    <row r="156" spans="1:10" x14ac:dyDescent="0.25">
      <c r="B156" s="31" t="s">
        <v>328</v>
      </c>
      <c r="C156" s="31" t="s">
        <v>184</v>
      </c>
      <c r="D156" s="31"/>
      <c r="E156" s="31" t="s">
        <v>165</v>
      </c>
      <c r="F156" s="31" t="s">
        <v>353</v>
      </c>
      <c r="G156" s="31" t="s">
        <v>352</v>
      </c>
      <c r="H156" s="31" t="s">
        <v>418</v>
      </c>
      <c r="I156" s="30">
        <v>2990</v>
      </c>
      <c r="J156" s="30">
        <v>5038.92</v>
      </c>
    </row>
    <row r="157" spans="1:10" x14ac:dyDescent="0.25">
      <c r="B157" s="31" t="s">
        <v>328</v>
      </c>
      <c r="C157" s="31" t="s">
        <v>184</v>
      </c>
      <c r="D157" s="31"/>
      <c r="E157" s="31" t="s">
        <v>165</v>
      </c>
      <c r="F157" s="31" t="s">
        <v>322</v>
      </c>
      <c r="G157" s="31" t="s">
        <v>327</v>
      </c>
      <c r="H157" s="31" t="s">
        <v>82</v>
      </c>
      <c r="I157" s="30">
        <v>70</v>
      </c>
      <c r="J157" s="30">
        <v>5108.92</v>
      </c>
    </row>
    <row r="158" spans="1:10" x14ac:dyDescent="0.25">
      <c r="B158" s="31" t="s">
        <v>245</v>
      </c>
      <c r="C158" s="31" t="s">
        <v>184</v>
      </c>
      <c r="D158" s="31"/>
      <c r="E158" s="31" t="s">
        <v>165</v>
      </c>
      <c r="F158" s="31" t="s">
        <v>298</v>
      </c>
      <c r="G158" s="31" t="s">
        <v>316</v>
      </c>
      <c r="H158" s="31" t="s">
        <v>420</v>
      </c>
      <c r="I158" s="30">
        <v>14.99</v>
      </c>
      <c r="J158" s="30">
        <v>5123.91</v>
      </c>
    </row>
    <row r="159" spans="1:10" x14ac:dyDescent="0.25">
      <c r="B159" s="31" t="s">
        <v>263</v>
      </c>
      <c r="C159" s="31" t="s">
        <v>184</v>
      </c>
      <c r="D159" s="31"/>
      <c r="E159" s="31" t="s">
        <v>165</v>
      </c>
      <c r="F159" s="31" t="s">
        <v>300</v>
      </c>
      <c r="G159" s="31" t="s">
        <v>314</v>
      </c>
      <c r="H159" s="31" t="s">
        <v>420</v>
      </c>
      <c r="I159" s="30">
        <v>217</v>
      </c>
      <c r="J159" s="30">
        <v>5340.91</v>
      </c>
    </row>
    <row r="160" spans="1:10" x14ac:dyDescent="0.25">
      <c r="B160" s="31" t="s">
        <v>263</v>
      </c>
      <c r="C160" s="31" t="s">
        <v>184</v>
      </c>
      <c r="D160" s="31"/>
      <c r="E160" s="31" t="s">
        <v>165</v>
      </c>
      <c r="F160" s="31" t="s">
        <v>333</v>
      </c>
      <c r="G160" s="31" t="s">
        <v>351</v>
      </c>
      <c r="H160" s="31" t="s">
        <v>418</v>
      </c>
      <c r="I160" s="30">
        <v>16.32</v>
      </c>
      <c r="J160" s="30">
        <v>5357.23</v>
      </c>
    </row>
    <row r="161" spans="2:10" x14ac:dyDescent="0.25">
      <c r="B161" s="31" t="s">
        <v>263</v>
      </c>
      <c r="C161" s="31" t="s">
        <v>184</v>
      </c>
      <c r="D161" s="31"/>
      <c r="E161" s="31" t="s">
        <v>165</v>
      </c>
      <c r="F161" s="31" t="s">
        <v>298</v>
      </c>
      <c r="G161" s="31" t="s">
        <v>315</v>
      </c>
      <c r="H161" s="31" t="s">
        <v>420</v>
      </c>
      <c r="I161" s="30">
        <v>13.99</v>
      </c>
      <c r="J161" s="30">
        <v>5371.22</v>
      </c>
    </row>
    <row r="162" spans="2:10" x14ac:dyDescent="0.25">
      <c r="B162" s="31" t="s">
        <v>263</v>
      </c>
      <c r="C162" s="31" t="s">
        <v>184</v>
      </c>
      <c r="D162" s="31"/>
      <c r="E162" s="31" t="s">
        <v>165</v>
      </c>
      <c r="F162" s="31"/>
      <c r="G162" s="31" t="s">
        <v>262</v>
      </c>
      <c r="H162" s="31" t="s">
        <v>67</v>
      </c>
      <c r="I162" s="30">
        <v>16</v>
      </c>
      <c r="J162" s="30">
        <v>5387.22</v>
      </c>
    </row>
    <row r="163" spans="2:10" x14ac:dyDescent="0.25">
      <c r="B163" s="31" t="s">
        <v>284</v>
      </c>
      <c r="C163" s="31" t="s">
        <v>184</v>
      </c>
      <c r="D163" s="31"/>
      <c r="E163" s="31" t="s">
        <v>165</v>
      </c>
      <c r="F163" s="31" t="s">
        <v>300</v>
      </c>
      <c r="G163" s="31" t="s">
        <v>311</v>
      </c>
      <c r="H163" s="31" t="s">
        <v>420</v>
      </c>
      <c r="I163" s="30">
        <v>9</v>
      </c>
      <c r="J163" s="30">
        <v>5396.22</v>
      </c>
    </row>
    <row r="164" spans="2:10" x14ac:dyDescent="0.25">
      <c r="B164" s="31" t="s">
        <v>284</v>
      </c>
      <c r="C164" s="31" t="s">
        <v>184</v>
      </c>
      <c r="D164" s="31"/>
      <c r="E164" s="31" t="s">
        <v>165</v>
      </c>
      <c r="F164" s="31" t="s">
        <v>300</v>
      </c>
      <c r="G164" s="31" t="s">
        <v>312</v>
      </c>
      <c r="H164" s="31" t="s">
        <v>420</v>
      </c>
      <c r="I164" s="30">
        <v>9</v>
      </c>
      <c r="J164" s="30">
        <v>5405.22</v>
      </c>
    </row>
    <row r="165" spans="2:10" x14ac:dyDescent="0.25">
      <c r="B165" s="31" t="s">
        <v>284</v>
      </c>
      <c r="C165" s="31" t="s">
        <v>184</v>
      </c>
      <c r="D165" s="31"/>
      <c r="E165" s="31" t="s">
        <v>165</v>
      </c>
      <c r="F165" s="31" t="s">
        <v>333</v>
      </c>
      <c r="G165" s="31" t="s">
        <v>332</v>
      </c>
      <c r="H165" s="31" t="s">
        <v>418</v>
      </c>
      <c r="I165" s="30">
        <v>57.97</v>
      </c>
      <c r="J165" s="30">
        <v>5463.19</v>
      </c>
    </row>
    <row r="166" spans="2:10" x14ac:dyDescent="0.25">
      <c r="B166" s="31" t="s">
        <v>284</v>
      </c>
      <c r="C166" s="31" t="s">
        <v>184</v>
      </c>
      <c r="D166" s="31"/>
      <c r="E166" s="31" t="s">
        <v>165</v>
      </c>
      <c r="F166" s="31" t="s">
        <v>300</v>
      </c>
      <c r="G166" s="31" t="s">
        <v>313</v>
      </c>
      <c r="H166" s="31" t="s">
        <v>420</v>
      </c>
      <c r="I166" s="30">
        <v>25</v>
      </c>
      <c r="J166" s="30">
        <v>5488.19</v>
      </c>
    </row>
    <row r="167" spans="2:10" x14ac:dyDescent="0.25">
      <c r="B167" s="31" t="s">
        <v>185</v>
      </c>
      <c r="C167" s="31" t="s">
        <v>184</v>
      </c>
      <c r="D167" s="31"/>
      <c r="E167" s="31" t="s">
        <v>165</v>
      </c>
      <c r="F167" s="31" t="s">
        <v>300</v>
      </c>
      <c r="G167" s="31" t="s">
        <v>309</v>
      </c>
      <c r="H167" s="31" t="s">
        <v>420</v>
      </c>
      <c r="I167" s="30">
        <v>33</v>
      </c>
      <c r="J167" s="30">
        <v>5521.19</v>
      </c>
    </row>
    <row r="168" spans="2:10" x14ac:dyDescent="0.25">
      <c r="B168" s="31" t="s">
        <v>185</v>
      </c>
      <c r="C168" s="31" t="s">
        <v>184</v>
      </c>
      <c r="D168" s="31"/>
      <c r="E168" s="31" t="s">
        <v>165</v>
      </c>
      <c r="F168" s="31" t="s">
        <v>343</v>
      </c>
      <c r="G168" s="31" t="s">
        <v>342</v>
      </c>
      <c r="H168" s="31" t="s">
        <v>418</v>
      </c>
      <c r="I168" s="30">
        <v>8956.7999999999993</v>
      </c>
      <c r="J168" s="30">
        <v>14477.99</v>
      </c>
    </row>
    <row r="169" spans="2:10" x14ac:dyDescent="0.25">
      <c r="B169" s="31" t="s">
        <v>185</v>
      </c>
      <c r="C169" s="31" t="s">
        <v>184</v>
      </c>
      <c r="D169" s="31"/>
      <c r="E169" s="31" t="s">
        <v>165</v>
      </c>
      <c r="F169" s="31" t="s">
        <v>361</v>
      </c>
      <c r="G169" s="31" t="s">
        <v>360</v>
      </c>
      <c r="H169" s="31" t="s">
        <v>423</v>
      </c>
      <c r="I169" s="30">
        <v>205</v>
      </c>
      <c r="J169" s="30">
        <v>14682.99</v>
      </c>
    </row>
    <row r="170" spans="2:10" x14ac:dyDescent="0.25">
      <c r="B170" s="31" t="s">
        <v>185</v>
      </c>
      <c r="C170" s="31" t="s">
        <v>184</v>
      </c>
      <c r="D170" s="31"/>
      <c r="E170" s="31" t="s">
        <v>165</v>
      </c>
      <c r="F170" s="31" t="s">
        <v>361</v>
      </c>
      <c r="G170" s="31" t="s">
        <v>360</v>
      </c>
      <c r="H170" s="31" t="s">
        <v>423</v>
      </c>
      <c r="I170" s="30">
        <v>105</v>
      </c>
      <c r="J170" s="30">
        <v>14787.99</v>
      </c>
    </row>
    <row r="171" spans="2:10" x14ac:dyDescent="0.25">
      <c r="B171" s="31" t="s">
        <v>185</v>
      </c>
      <c r="C171" s="31" t="s">
        <v>184</v>
      </c>
      <c r="D171" s="31"/>
      <c r="E171" s="31" t="s">
        <v>165</v>
      </c>
      <c r="F171" s="31" t="s">
        <v>361</v>
      </c>
      <c r="G171" s="31" t="s">
        <v>360</v>
      </c>
      <c r="H171" s="31" t="s">
        <v>423</v>
      </c>
      <c r="I171" s="30">
        <v>105</v>
      </c>
      <c r="J171" s="30">
        <v>14892.99</v>
      </c>
    </row>
    <row r="172" spans="2:10" x14ac:dyDescent="0.25">
      <c r="B172" s="31" t="s">
        <v>185</v>
      </c>
      <c r="C172" s="31" t="s">
        <v>184</v>
      </c>
      <c r="D172" s="31"/>
      <c r="E172" s="31" t="s">
        <v>165</v>
      </c>
      <c r="F172" s="31" t="s">
        <v>183</v>
      </c>
      <c r="G172" s="31" t="s">
        <v>182</v>
      </c>
      <c r="H172" s="31" t="s">
        <v>430</v>
      </c>
      <c r="I172" s="30">
        <v>77.12</v>
      </c>
      <c r="J172" s="30">
        <v>14970.11</v>
      </c>
    </row>
    <row r="173" spans="2:10" x14ac:dyDescent="0.25">
      <c r="B173" s="31" t="s">
        <v>185</v>
      </c>
      <c r="C173" s="31" t="s">
        <v>184</v>
      </c>
      <c r="D173" s="31"/>
      <c r="E173" s="31" t="s">
        <v>165</v>
      </c>
      <c r="F173" s="31" t="s">
        <v>249</v>
      </c>
      <c r="G173" s="31" t="s">
        <v>248</v>
      </c>
      <c r="H173" s="31" t="s">
        <v>429</v>
      </c>
      <c r="I173" s="30">
        <v>37.700000000000003</v>
      </c>
      <c r="J173" s="30">
        <v>15007.81</v>
      </c>
    </row>
    <row r="174" spans="2:10" x14ac:dyDescent="0.25">
      <c r="B174" s="31" t="s">
        <v>185</v>
      </c>
      <c r="C174" s="31" t="s">
        <v>184</v>
      </c>
      <c r="D174" s="31"/>
      <c r="E174" s="31" t="s">
        <v>165</v>
      </c>
      <c r="F174" s="31" t="s">
        <v>333</v>
      </c>
      <c r="G174" s="31" t="s">
        <v>335</v>
      </c>
      <c r="H174" s="31" t="s">
        <v>418</v>
      </c>
      <c r="I174" s="30">
        <v>35.19</v>
      </c>
      <c r="J174" s="30">
        <v>15043</v>
      </c>
    </row>
    <row r="175" spans="2:10" x14ac:dyDescent="0.25">
      <c r="B175" s="31" t="s">
        <v>185</v>
      </c>
      <c r="C175" s="31" t="s">
        <v>184</v>
      </c>
      <c r="D175" s="31"/>
      <c r="E175" s="31" t="s">
        <v>165</v>
      </c>
      <c r="F175" s="31" t="s">
        <v>300</v>
      </c>
      <c r="G175" s="31" t="s">
        <v>308</v>
      </c>
      <c r="H175" s="31" t="s">
        <v>420</v>
      </c>
      <c r="I175" s="30">
        <v>33</v>
      </c>
      <c r="J175" s="30">
        <v>15076</v>
      </c>
    </row>
    <row r="176" spans="2:10" x14ac:dyDescent="0.25">
      <c r="B176" s="31" t="s">
        <v>185</v>
      </c>
      <c r="C176" s="31" t="s">
        <v>184</v>
      </c>
      <c r="D176" s="31"/>
      <c r="E176" s="31" t="s">
        <v>165</v>
      </c>
      <c r="F176" s="31" t="s">
        <v>300</v>
      </c>
      <c r="G176" s="31" t="s">
        <v>307</v>
      </c>
      <c r="H176" s="31" t="s">
        <v>420</v>
      </c>
      <c r="I176" s="30">
        <v>9.1</v>
      </c>
      <c r="J176" s="30">
        <v>15085.1</v>
      </c>
    </row>
    <row r="177" spans="2:10" x14ac:dyDescent="0.25">
      <c r="B177" s="31" t="s">
        <v>185</v>
      </c>
      <c r="C177" s="31" t="s">
        <v>184</v>
      </c>
      <c r="D177" s="31"/>
      <c r="E177" s="31" t="s">
        <v>165</v>
      </c>
      <c r="F177" s="31" t="s">
        <v>300</v>
      </c>
      <c r="G177" s="31" t="s">
        <v>310</v>
      </c>
      <c r="H177" s="31" t="s">
        <v>420</v>
      </c>
      <c r="I177" s="30">
        <v>2</v>
      </c>
      <c r="J177" s="30">
        <v>15087.1</v>
      </c>
    </row>
    <row r="178" spans="2:10" x14ac:dyDescent="0.25">
      <c r="B178" s="31" t="s">
        <v>223</v>
      </c>
      <c r="C178" s="31" t="s">
        <v>184</v>
      </c>
      <c r="D178" s="31"/>
      <c r="E178" s="31" t="s">
        <v>165</v>
      </c>
      <c r="F178" s="31" t="s">
        <v>300</v>
      </c>
      <c r="G178" s="31" t="s">
        <v>306</v>
      </c>
      <c r="H178" s="31" t="s">
        <v>420</v>
      </c>
      <c r="I178" s="30">
        <v>36</v>
      </c>
      <c r="J178" s="30">
        <v>15123.1</v>
      </c>
    </row>
    <row r="179" spans="2:10" x14ac:dyDescent="0.25">
      <c r="B179" s="31" t="s">
        <v>305</v>
      </c>
      <c r="C179" s="31" t="s">
        <v>184</v>
      </c>
      <c r="D179" s="31"/>
      <c r="E179" s="31" t="s">
        <v>165</v>
      </c>
      <c r="F179" s="31" t="s">
        <v>300</v>
      </c>
      <c r="G179" s="31" t="s">
        <v>304</v>
      </c>
      <c r="H179" s="31" t="s">
        <v>420</v>
      </c>
      <c r="I179" s="30">
        <v>34.04</v>
      </c>
      <c r="J179" s="30">
        <v>15157.14</v>
      </c>
    </row>
    <row r="180" spans="2:10" x14ac:dyDescent="0.25">
      <c r="B180" s="31" t="s">
        <v>303</v>
      </c>
      <c r="C180" s="31" t="s">
        <v>184</v>
      </c>
      <c r="D180" s="31"/>
      <c r="E180" s="31" t="s">
        <v>165</v>
      </c>
      <c r="F180" s="31" t="s">
        <v>300</v>
      </c>
      <c r="G180" s="31" t="s">
        <v>302</v>
      </c>
      <c r="H180" s="31" t="s">
        <v>420</v>
      </c>
      <c r="I180" s="30">
        <v>52</v>
      </c>
      <c r="J180" s="30">
        <v>15209.14</v>
      </c>
    </row>
    <row r="181" spans="2:10" x14ac:dyDescent="0.25">
      <c r="B181" s="31" t="s">
        <v>303</v>
      </c>
      <c r="C181" s="31" t="s">
        <v>184</v>
      </c>
      <c r="D181" s="31"/>
      <c r="E181" s="31" t="s">
        <v>165</v>
      </c>
      <c r="F181" s="31" t="s">
        <v>326</v>
      </c>
      <c r="G181" s="31" t="s">
        <v>325</v>
      </c>
      <c r="H181" s="31" t="s">
        <v>82</v>
      </c>
      <c r="I181" s="30">
        <v>15</v>
      </c>
      <c r="J181" s="30">
        <v>15224.14</v>
      </c>
    </row>
    <row r="182" spans="2:10" x14ac:dyDescent="0.25">
      <c r="B182" s="31" t="s">
        <v>192</v>
      </c>
      <c r="C182" s="31" t="s">
        <v>184</v>
      </c>
      <c r="D182" s="31"/>
      <c r="E182" s="31" t="s">
        <v>165</v>
      </c>
      <c r="F182" s="31" t="s">
        <v>333</v>
      </c>
      <c r="G182" s="31" t="s">
        <v>335</v>
      </c>
      <c r="H182" s="31" t="s">
        <v>418</v>
      </c>
      <c r="I182" s="30">
        <v>41.11</v>
      </c>
      <c r="J182" s="30">
        <v>15265.25</v>
      </c>
    </row>
    <row r="183" spans="2:10" x14ac:dyDescent="0.25">
      <c r="B183" s="31" t="s">
        <v>192</v>
      </c>
      <c r="C183" s="31" t="s">
        <v>184</v>
      </c>
      <c r="D183" s="31"/>
      <c r="E183" s="31" t="s">
        <v>165</v>
      </c>
      <c r="F183" s="31" t="s">
        <v>333</v>
      </c>
      <c r="G183" s="31" t="s">
        <v>335</v>
      </c>
      <c r="H183" s="31" t="s">
        <v>418</v>
      </c>
      <c r="I183" s="30">
        <v>20.72</v>
      </c>
      <c r="J183" s="30">
        <v>15285.97</v>
      </c>
    </row>
    <row r="184" spans="2:10" x14ac:dyDescent="0.25">
      <c r="B184" s="31" t="s">
        <v>242</v>
      </c>
      <c r="C184" s="31" t="s">
        <v>184</v>
      </c>
      <c r="D184" s="31"/>
      <c r="E184" s="31" t="s">
        <v>165</v>
      </c>
      <c r="F184" s="31" t="s">
        <v>331</v>
      </c>
      <c r="G184" s="31" t="s">
        <v>339</v>
      </c>
      <c r="H184" s="31" t="s">
        <v>418</v>
      </c>
      <c r="I184" s="30">
        <v>50.02</v>
      </c>
      <c r="J184" s="30">
        <v>15335.99</v>
      </c>
    </row>
    <row r="185" spans="2:10" x14ac:dyDescent="0.25">
      <c r="B185" s="31" t="s">
        <v>242</v>
      </c>
      <c r="C185" s="31" t="s">
        <v>184</v>
      </c>
      <c r="D185" s="31"/>
      <c r="E185" s="31" t="s">
        <v>165</v>
      </c>
      <c r="F185" s="31" t="s">
        <v>234</v>
      </c>
      <c r="G185" s="31" t="s">
        <v>233</v>
      </c>
      <c r="H185" s="31" t="s">
        <v>424</v>
      </c>
      <c r="I185" s="30">
        <v>0.99</v>
      </c>
      <c r="J185" s="30">
        <v>15336.98</v>
      </c>
    </row>
    <row r="186" spans="2:10" x14ac:dyDescent="0.25">
      <c r="B186" s="31" t="s">
        <v>242</v>
      </c>
      <c r="C186" s="31" t="s">
        <v>184</v>
      </c>
      <c r="D186" s="31"/>
      <c r="E186" s="31" t="s">
        <v>165</v>
      </c>
      <c r="F186" s="31" t="s">
        <v>333</v>
      </c>
      <c r="G186" s="31" t="s">
        <v>335</v>
      </c>
      <c r="H186" s="31" t="s">
        <v>418</v>
      </c>
      <c r="I186" s="30">
        <v>18.309999999999999</v>
      </c>
      <c r="J186" s="30">
        <v>15355.29</v>
      </c>
    </row>
    <row r="187" spans="2:10" x14ac:dyDescent="0.25">
      <c r="B187" s="31" t="s">
        <v>242</v>
      </c>
      <c r="C187" s="31" t="s">
        <v>184</v>
      </c>
      <c r="D187" s="31"/>
      <c r="E187" s="31" t="s">
        <v>165</v>
      </c>
      <c r="F187" s="31" t="s">
        <v>333</v>
      </c>
      <c r="G187" s="31" t="s">
        <v>332</v>
      </c>
      <c r="H187" s="31" t="s">
        <v>418</v>
      </c>
      <c r="I187" s="30">
        <v>60.4</v>
      </c>
      <c r="J187" s="30">
        <v>15415.69</v>
      </c>
    </row>
    <row r="188" spans="2:10" x14ac:dyDescent="0.25">
      <c r="B188" s="31" t="s">
        <v>242</v>
      </c>
      <c r="C188" s="31" t="s">
        <v>184</v>
      </c>
      <c r="D188" s="31"/>
      <c r="E188" s="31" t="s">
        <v>165</v>
      </c>
      <c r="F188" s="31" t="s">
        <v>348</v>
      </c>
      <c r="G188" s="31" t="s">
        <v>347</v>
      </c>
      <c r="H188" s="31" t="s">
        <v>418</v>
      </c>
      <c r="I188" s="30">
        <v>1309.22</v>
      </c>
      <c r="J188" s="30">
        <v>16724.91</v>
      </c>
    </row>
    <row r="189" spans="2:10" x14ac:dyDescent="0.25">
      <c r="B189" s="31" t="s">
        <v>267</v>
      </c>
      <c r="C189" s="31" t="s">
        <v>184</v>
      </c>
      <c r="D189" s="31"/>
      <c r="E189" s="31" t="s">
        <v>165</v>
      </c>
      <c r="F189" s="31" t="s">
        <v>275</v>
      </c>
      <c r="G189" s="31" t="s">
        <v>274</v>
      </c>
      <c r="H189" s="31" t="s">
        <v>428</v>
      </c>
      <c r="I189" s="30">
        <v>504</v>
      </c>
      <c r="J189" s="30">
        <v>17228.91</v>
      </c>
    </row>
    <row r="190" spans="2:10" x14ac:dyDescent="0.25">
      <c r="B190" s="31" t="s">
        <v>267</v>
      </c>
      <c r="C190" s="31" t="s">
        <v>184</v>
      </c>
      <c r="D190" s="31"/>
      <c r="E190" s="31" t="s">
        <v>165</v>
      </c>
      <c r="F190" s="31" t="s">
        <v>275</v>
      </c>
      <c r="G190" s="31" t="s">
        <v>274</v>
      </c>
      <c r="H190" s="31" t="s">
        <v>428</v>
      </c>
      <c r="I190" s="30">
        <v>90</v>
      </c>
      <c r="J190" s="30">
        <v>17318.91</v>
      </c>
    </row>
    <row r="191" spans="2:10" x14ac:dyDescent="0.25">
      <c r="B191" s="31" t="s">
        <v>267</v>
      </c>
      <c r="C191" s="31" t="s">
        <v>184</v>
      </c>
      <c r="D191" s="31"/>
      <c r="E191" s="31" t="s">
        <v>165</v>
      </c>
      <c r="F191" s="31" t="s">
        <v>343</v>
      </c>
      <c r="G191" s="31" t="s">
        <v>346</v>
      </c>
      <c r="H191" s="31" t="s">
        <v>418</v>
      </c>
      <c r="I191" s="30">
        <v>925.91</v>
      </c>
      <c r="J191" s="30">
        <v>18244.82</v>
      </c>
    </row>
    <row r="192" spans="2:10" x14ac:dyDescent="0.25">
      <c r="B192" s="31" t="s">
        <v>267</v>
      </c>
      <c r="C192" s="31" t="s">
        <v>184</v>
      </c>
      <c r="D192" s="31"/>
      <c r="E192" s="31" t="s">
        <v>165</v>
      </c>
      <c r="F192" s="31" t="s">
        <v>361</v>
      </c>
      <c r="G192" s="31" t="s">
        <v>360</v>
      </c>
      <c r="H192" s="31" t="s">
        <v>423</v>
      </c>
      <c r="I192" s="30">
        <v>660</v>
      </c>
      <c r="J192" s="30">
        <v>18904.82</v>
      </c>
    </row>
    <row r="193" spans="2:10" x14ac:dyDescent="0.25">
      <c r="B193" s="31" t="s">
        <v>267</v>
      </c>
      <c r="C193" s="31" t="s">
        <v>184</v>
      </c>
      <c r="D193" s="31"/>
      <c r="E193" s="31" t="s">
        <v>165</v>
      </c>
      <c r="F193" s="31" t="s">
        <v>275</v>
      </c>
      <c r="G193" s="31" t="s">
        <v>274</v>
      </c>
      <c r="H193" s="31" t="s">
        <v>428</v>
      </c>
      <c r="I193" s="30">
        <v>60</v>
      </c>
      <c r="J193" s="30">
        <v>18964.82</v>
      </c>
    </row>
    <row r="194" spans="2:10" x14ac:dyDescent="0.25">
      <c r="B194" s="31" t="s">
        <v>267</v>
      </c>
      <c r="C194" s="31" t="s">
        <v>184</v>
      </c>
      <c r="D194" s="31"/>
      <c r="E194" s="31" t="s">
        <v>165</v>
      </c>
      <c r="F194" s="31" t="s">
        <v>275</v>
      </c>
      <c r="G194" s="31" t="s">
        <v>274</v>
      </c>
      <c r="H194" s="31" t="s">
        <v>428</v>
      </c>
      <c r="I194" s="30">
        <v>60</v>
      </c>
      <c r="J194" s="30">
        <v>19024.82</v>
      </c>
    </row>
    <row r="195" spans="2:10" x14ac:dyDescent="0.25">
      <c r="B195" s="31" t="s">
        <v>241</v>
      </c>
      <c r="C195" s="31" t="s">
        <v>184</v>
      </c>
      <c r="D195" s="31"/>
      <c r="E195" s="31" t="s">
        <v>165</v>
      </c>
      <c r="F195" s="31" t="s">
        <v>343</v>
      </c>
      <c r="G195" s="31" t="s">
        <v>346</v>
      </c>
      <c r="H195" s="31" t="s">
        <v>418</v>
      </c>
      <c r="I195" s="30">
        <v>416.76</v>
      </c>
      <c r="J195" s="30">
        <v>19441.580000000002</v>
      </c>
    </row>
    <row r="196" spans="2:10" x14ac:dyDescent="0.25">
      <c r="B196" s="31" t="s">
        <v>241</v>
      </c>
      <c r="C196" s="31" t="s">
        <v>184</v>
      </c>
      <c r="D196" s="31"/>
      <c r="E196" s="31" t="s">
        <v>165</v>
      </c>
      <c r="F196" s="31" t="s">
        <v>234</v>
      </c>
      <c r="G196" s="31" t="s">
        <v>233</v>
      </c>
      <c r="H196" s="31" t="s">
        <v>424</v>
      </c>
      <c r="I196" s="30">
        <v>19.989999999999998</v>
      </c>
      <c r="J196" s="30">
        <v>19461.57</v>
      </c>
    </row>
    <row r="197" spans="2:10" x14ac:dyDescent="0.25">
      <c r="B197" s="31" t="s">
        <v>301</v>
      </c>
      <c r="C197" s="31" t="s">
        <v>184</v>
      </c>
      <c r="D197" s="31"/>
      <c r="E197" s="31" t="s">
        <v>165</v>
      </c>
      <c r="F197" s="31" t="s">
        <v>333</v>
      </c>
      <c r="G197" s="31" t="s">
        <v>335</v>
      </c>
      <c r="H197" s="31" t="s">
        <v>418</v>
      </c>
      <c r="I197" s="30">
        <v>16.149999999999999</v>
      </c>
      <c r="J197" s="30">
        <v>19477.72</v>
      </c>
    </row>
    <row r="198" spans="2:10" x14ac:dyDescent="0.25">
      <c r="B198" s="31" t="s">
        <v>301</v>
      </c>
      <c r="C198" s="31" t="s">
        <v>184</v>
      </c>
      <c r="D198" s="31"/>
      <c r="E198" s="31" t="s">
        <v>165</v>
      </c>
      <c r="F198" s="31" t="s">
        <v>300</v>
      </c>
      <c r="G198" s="31" t="s">
        <v>299</v>
      </c>
      <c r="H198" s="31" t="s">
        <v>420</v>
      </c>
      <c r="I198" s="30">
        <v>37.51</v>
      </c>
      <c r="J198" s="30">
        <v>19515.23</v>
      </c>
    </row>
    <row r="199" spans="2:10" x14ac:dyDescent="0.25">
      <c r="B199" s="31" t="s">
        <v>240</v>
      </c>
      <c r="C199" s="31" t="s">
        <v>184</v>
      </c>
      <c r="D199" s="31"/>
      <c r="E199" s="31" t="s">
        <v>165</v>
      </c>
      <c r="F199" s="31" t="s">
        <v>239</v>
      </c>
      <c r="G199" s="31" t="s">
        <v>238</v>
      </c>
      <c r="H199" s="31" t="s">
        <v>424</v>
      </c>
      <c r="I199" s="30">
        <v>120</v>
      </c>
      <c r="J199" s="30">
        <v>19635.23</v>
      </c>
    </row>
    <row r="200" spans="2:10" x14ac:dyDescent="0.25">
      <c r="B200" s="31" t="s">
        <v>240</v>
      </c>
      <c r="C200" s="31" t="s">
        <v>184</v>
      </c>
      <c r="D200" s="31"/>
      <c r="E200" s="31" t="s">
        <v>165</v>
      </c>
      <c r="F200" s="31" t="s">
        <v>333</v>
      </c>
      <c r="G200" s="31" t="s">
        <v>335</v>
      </c>
      <c r="H200" s="31" t="s">
        <v>418</v>
      </c>
      <c r="I200" s="30">
        <v>21.51</v>
      </c>
      <c r="J200" s="30">
        <v>19656.740000000002</v>
      </c>
    </row>
    <row r="201" spans="2:10" x14ac:dyDescent="0.25">
      <c r="B201" s="31" t="s">
        <v>272</v>
      </c>
      <c r="C201" s="31" t="s">
        <v>184</v>
      </c>
      <c r="D201" s="31"/>
      <c r="E201" s="31" t="s">
        <v>165</v>
      </c>
      <c r="F201" s="31" t="s">
        <v>345</v>
      </c>
      <c r="G201" s="31" t="s">
        <v>344</v>
      </c>
      <c r="H201" s="31" t="s">
        <v>418</v>
      </c>
      <c r="I201" s="30">
        <v>477.83</v>
      </c>
      <c r="J201" s="30">
        <v>20134.57</v>
      </c>
    </row>
    <row r="202" spans="2:10" x14ac:dyDescent="0.25">
      <c r="B202" s="31" t="s">
        <v>201</v>
      </c>
      <c r="C202" s="31" t="s">
        <v>184</v>
      </c>
      <c r="D202" s="31"/>
      <c r="E202" s="31" t="s">
        <v>165</v>
      </c>
      <c r="F202" s="31" t="s">
        <v>343</v>
      </c>
      <c r="G202" s="31" t="s">
        <v>342</v>
      </c>
      <c r="H202" s="31" t="s">
        <v>418</v>
      </c>
      <c r="I202" s="30">
        <v>11093.92</v>
      </c>
      <c r="J202" s="30">
        <v>31228.49</v>
      </c>
    </row>
    <row r="203" spans="2:10" x14ac:dyDescent="0.25">
      <c r="B203" s="31" t="s">
        <v>201</v>
      </c>
      <c r="C203" s="31" t="s">
        <v>422</v>
      </c>
      <c r="D203" s="31"/>
      <c r="E203" s="31" t="s">
        <v>165</v>
      </c>
      <c r="F203" s="31" t="s">
        <v>164</v>
      </c>
      <c r="G203" s="31" t="s">
        <v>421</v>
      </c>
      <c r="H203" s="31" t="s">
        <v>151</v>
      </c>
      <c r="I203" s="30">
        <v>-19662.55</v>
      </c>
      <c r="J203" s="30">
        <v>11565.94</v>
      </c>
    </row>
    <row r="204" spans="2:10" x14ac:dyDescent="0.25">
      <c r="B204" s="31" t="s">
        <v>201</v>
      </c>
      <c r="C204" s="31" t="s">
        <v>184</v>
      </c>
      <c r="D204" s="31"/>
      <c r="E204" s="31" t="s">
        <v>165</v>
      </c>
      <c r="F204" s="31" t="s">
        <v>341</v>
      </c>
      <c r="G204" s="31" t="s">
        <v>340</v>
      </c>
      <c r="H204" s="31" t="s">
        <v>418</v>
      </c>
      <c r="I204" s="30">
        <v>3259.45</v>
      </c>
      <c r="J204" s="30">
        <v>14825.39</v>
      </c>
    </row>
    <row r="205" spans="2:10" x14ac:dyDescent="0.25">
      <c r="B205" s="31" t="s">
        <v>178</v>
      </c>
      <c r="C205" s="31" t="s">
        <v>184</v>
      </c>
      <c r="D205" s="31"/>
      <c r="E205" s="31" t="s">
        <v>165</v>
      </c>
      <c r="F205" s="31" t="s">
        <v>208</v>
      </c>
      <c r="G205" s="31" t="s">
        <v>207</v>
      </c>
      <c r="H205" s="31" t="s">
        <v>425</v>
      </c>
      <c r="I205" s="30">
        <v>35</v>
      </c>
      <c r="J205" s="30">
        <v>14860.39</v>
      </c>
    </row>
    <row r="206" spans="2:10" x14ac:dyDescent="0.25">
      <c r="B206" s="31" t="s">
        <v>237</v>
      </c>
      <c r="C206" s="31" t="s">
        <v>184</v>
      </c>
      <c r="D206" s="31"/>
      <c r="E206" s="31" t="s">
        <v>165</v>
      </c>
      <c r="F206" s="31" t="s">
        <v>338</v>
      </c>
      <c r="G206" s="31" t="s">
        <v>337</v>
      </c>
      <c r="H206" s="31" t="s">
        <v>418</v>
      </c>
      <c r="I206" s="30">
        <v>875</v>
      </c>
      <c r="J206" s="30">
        <v>15735.39</v>
      </c>
    </row>
    <row r="207" spans="2:10" x14ac:dyDescent="0.25">
      <c r="B207" s="31" t="s">
        <v>237</v>
      </c>
      <c r="C207" s="31" t="s">
        <v>184</v>
      </c>
      <c r="D207" s="31"/>
      <c r="E207" s="31" t="s">
        <v>165</v>
      </c>
      <c r="F207" s="31" t="s">
        <v>287</v>
      </c>
      <c r="G207" s="31" t="s">
        <v>286</v>
      </c>
      <c r="H207" s="31" t="s">
        <v>77</v>
      </c>
      <c r="I207" s="30">
        <v>1500</v>
      </c>
      <c r="J207" s="30">
        <v>17235.39</v>
      </c>
    </row>
    <row r="208" spans="2:10" x14ac:dyDescent="0.25">
      <c r="B208" s="31" t="s">
        <v>237</v>
      </c>
      <c r="C208" s="31" t="s">
        <v>184</v>
      </c>
      <c r="D208" s="31"/>
      <c r="E208" s="31" t="s">
        <v>165</v>
      </c>
      <c r="F208" s="31" t="s">
        <v>234</v>
      </c>
      <c r="G208" s="31" t="s">
        <v>233</v>
      </c>
      <c r="H208" s="31" t="s">
        <v>424</v>
      </c>
      <c r="I208" s="30">
        <v>12.99</v>
      </c>
      <c r="J208" s="30">
        <v>17248.38</v>
      </c>
    </row>
    <row r="209" spans="2:10" x14ac:dyDescent="0.25">
      <c r="B209" s="31" t="s">
        <v>173</v>
      </c>
      <c r="C209" s="31" t="s">
        <v>172</v>
      </c>
      <c r="D209" s="31"/>
      <c r="E209" s="31" t="s">
        <v>165</v>
      </c>
      <c r="F209" s="31" t="s">
        <v>171</v>
      </c>
      <c r="G209" s="31" t="s">
        <v>170</v>
      </c>
      <c r="H209" s="31" t="s">
        <v>427</v>
      </c>
      <c r="I209" s="30">
        <v>-643.48</v>
      </c>
      <c r="J209" s="30">
        <v>16604.900000000001</v>
      </c>
    </row>
    <row r="210" spans="2:10" x14ac:dyDescent="0.25">
      <c r="B210" s="31" t="s">
        <v>173</v>
      </c>
      <c r="C210" s="31" t="s">
        <v>184</v>
      </c>
      <c r="D210" s="31"/>
      <c r="E210" s="31" t="s">
        <v>165</v>
      </c>
      <c r="F210" s="31" t="s">
        <v>189</v>
      </c>
      <c r="G210" s="31" t="s">
        <v>188</v>
      </c>
      <c r="H210" s="31" t="s">
        <v>426</v>
      </c>
      <c r="I210" s="30">
        <v>42.41</v>
      </c>
      <c r="J210" s="30">
        <v>16647.310000000001</v>
      </c>
    </row>
    <row r="211" spans="2:10" x14ac:dyDescent="0.25">
      <c r="B211" s="31" t="s">
        <v>173</v>
      </c>
      <c r="C211" s="31" t="s">
        <v>184</v>
      </c>
      <c r="D211" s="31"/>
      <c r="E211" s="31" t="s">
        <v>165</v>
      </c>
      <c r="F211" s="31" t="s">
        <v>213</v>
      </c>
      <c r="G211" s="31" t="s">
        <v>212</v>
      </c>
      <c r="H211" s="31" t="s">
        <v>55</v>
      </c>
      <c r="I211" s="30">
        <v>90</v>
      </c>
      <c r="J211" s="30">
        <v>16737.310000000001</v>
      </c>
    </row>
    <row r="212" spans="2:10" x14ac:dyDescent="0.25">
      <c r="B212" s="31" t="s">
        <v>173</v>
      </c>
      <c r="C212" s="31" t="s">
        <v>184</v>
      </c>
      <c r="D212" s="31"/>
      <c r="E212" s="31" t="s">
        <v>165</v>
      </c>
      <c r="F212" s="31" t="s">
        <v>331</v>
      </c>
      <c r="G212" s="31" t="s">
        <v>339</v>
      </c>
      <c r="H212" s="31" t="s">
        <v>418</v>
      </c>
      <c r="I212" s="30">
        <v>50.02</v>
      </c>
      <c r="J212" s="30">
        <v>16787.330000000002</v>
      </c>
    </row>
    <row r="213" spans="2:10" x14ac:dyDescent="0.25">
      <c r="B213" s="31" t="s">
        <v>209</v>
      </c>
      <c r="C213" s="31" t="s">
        <v>184</v>
      </c>
      <c r="D213" s="31"/>
      <c r="E213" s="31" t="s">
        <v>165</v>
      </c>
      <c r="F213" s="31" t="s">
        <v>208</v>
      </c>
      <c r="G213" s="31" t="s">
        <v>207</v>
      </c>
      <c r="H213" s="31" t="s">
        <v>425</v>
      </c>
      <c r="I213" s="30">
        <v>75</v>
      </c>
      <c r="J213" s="30">
        <v>16862.330000000002</v>
      </c>
    </row>
    <row r="214" spans="2:10" x14ac:dyDescent="0.25">
      <c r="B214" s="31" t="s">
        <v>209</v>
      </c>
      <c r="C214" s="31" t="s">
        <v>184</v>
      </c>
      <c r="D214" s="31"/>
      <c r="E214" s="31" t="s">
        <v>165</v>
      </c>
      <c r="F214" s="31" t="s">
        <v>208</v>
      </c>
      <c r="G214" s="31" t="s">
        <v>207</v>
      </c>
      <c r="H214" s="31" t="s">
        <v>425</v>
      </c>
      <c r="I214" s="30">
        <v>35</v>
      </c>
      <c r="J214" s="30">
        <v>16897.330000000002</v>
      </c>
    </row>
    <row r="215" spans="2:10" x14ac:dyDescent="0.25">
      <c r="B215" s="31" t="s">
        <v>209</v>
      </c>
      <c r="C215" s="31" t="s">
        <v>184</v>
      </c>
      <c r="D215" s="31"/>
      <c r="E215" s="31" t="s">
        <v>165</v>
      </c>
      <c r="F215" s="31" t="s">
        <v>234</v>
      </c>
      <c r="G215" s="31" t="s">
        <v>233</v>
      </c>
      <c r="H215" s="31" t="s">
        <v>424</v>
      </c>
      <c r="I215" s="30">
        <v>2.99</v>
      </c>
      <c r="J215" s="30">
        <v>16900.32</v>
      </c>
    </row>
    <row r="216" spans="2:10" x14ac:dyDescent="0.25">
      <c r="B216" s="31" t="s">
        <v>209</v>
      </c>
      <c r="C216" s="31" t="s">
        <v>184</v>
      </c>
      <c r="D216" s="31"/>
      <c r="E216" s="31" t="s">
        <v>165</v>
      </c>
      <c r="F216" s="31" t="s">
        <v>338</v>
      </c>
      <c r="G216" s="31" t="s">
        <v>337</v>
      </c>
      <c r="H216" s="31" t="s">
        <v>418</v>
      </c>
      <c r="I216" s="30">
        <v>460</v>
      </c>
      <c r="J216" s="30">
        <v>17360.32</v>
      </c>
    </row>
    <row r="217" spans="2:10" x14ac:dyDescent="0.25">
      <c r="B217" s="31" t="s">
        <v>336</v>
      </c>
      <c r="C217" s="31" t="s">
        <v>184</v>
      </c>
      <c r="D217" s="31"/>
      <c r="E217" s="31" t="s">
        <v>165</v>
      </c>
      <c r="F217" s="31" t="s">
        <v>333</v>
      </c>
      <c r="G217" s="31" t="s">
        <v>332</v>
      </c>
      <c r="H217" s="31" t="s">
        <v>418</v>
      </c>
      <c r="I217" s="30">
        <v>180.96</v>
      </c>
      <c r="J217" s="30">
        <v>17541.28</v>
      </c>
    </row>
    <row r="218" spans="2:10" x14ac:dyDescent="0.25">
      <c r="B218" s="31" t="s">
        <v>336</v>
      </c>
      <c r="C218" s="31" t="s">
        <v>184</v>
      </c>
      <c r="D218" s="31"/>
      <c r="E218" s="31" t="s">
        <v>165</v>
      </c>
      <c r="F218" s="31" t="s">
        <v>333</v>
      </c>
      <c r="G218" s="31" t="s">
        <v>335</v>
      </c>
      <c r="H218" s="31" t="s">
        <v>418</v>
      </c>
      <c r="I218" s="30">
        <v>17.22</v>
      </c>
      <c r="J218" s="30">
        <v>17558.5</v>
      </c>
    </row>
    <row r="219" spans="2:10" x14ac:dyDescent="0.25">
      <c r="B219" s="31" t="s">
        <v>336</v>
      </c>
      <c r="C219" s="31" t="s">
        <v>184</v>
      </c>
      <c r="D219" s="31"/>
      <c r="E219" s="31" t="s">
        <v>165</v>
      </c>
      <c r="F219" s="31" t="s">
        <v>333</v>
      </c>
      <c r="G219" s="31" t="s">
        <v>335</v>
      </c>
      <c r="H219" s="31" t="s">
        <v>418</v>
      </c>
      <c r="I219" s="30">
        <v>27.78</v>
      </c>
      <c r="J219" s="30">
        <v>17586.28</v>
      </c>
    </row>
    <row r="220" spans="2:10" x14ac:dyDescent="0.25">
      <c r="B220" s="31" t="s">
        <v>232</v>
      </c>
      <c r="C220" s="31" t="s">
        <v>184</v>
      </c>
      <c r="D220" s="31"/>
      <c r="E220" s="31" t="s">
        <v>165</v>
      </c>
      <c r="F220" s="31" t="s">
        <v>359</v>
      </c>
      <c r="G220" s="31" t="s">
        <v>358</v>
      </c>
      <c r="H220" s="31" t="s">
        <v>423</v>
      </c>
      <c r="I220" s="30">
        <v>1526.13</v>
      </c>
      <c r="J220" s="30">
        <v>19112.41</v>
      </c>
    </row>
    <row r="221" spans="2:10" x14ac:dyDescent="0.25">
      <c r="B221" s="31" t="s">
        <v>232</v>
      </c>
      <c r="C221" s="31" t="s">
        <v>422</v>
      </c>
      <c r="D221" s="31"/>
      <c r="E221" s="31" t="s">
        <v>165</v>
      </c>
      <c r="F221" s="31"/>
      <c r="G221" s="31" t="s">
        <v>421</v>
      </c>
      <c r="H221" s="31" t="s">
        <v>151</v>
      </c>
      <c r="I221" s="30">
        <v>-1666.07</v>
      </c>
      <c r="J221" s="30">
        <v>17446.34</v>
      </c>
    </row>
    <row r="222" spans="2:10" x14ac:dyDescent="0.25">
      <c r="B222" s="31" t="s">
        <v>296</v>
      </c>
      <c r="C222" s="31" t="s">
        <v>184</v>
      </c>
      <c r="D222" s="31"/>
      <c r="E222" s="31" t="s">
        <v>165</v>
      </c>
      <c r="F222" s="31" t="s">
        <v>295</v>
      </c>
      <c r="G222" s="31" t="s">
        <v>294</v>
      </c>
      <c r="H222" s="31" t="s">
        <v>420</v>
      </c>
      <c r="I222" s="30">
        <v>100</v>
      </c>
      <c r="J222" s="30">
        <v>17546.34</v>
      </c>
    </row>
    <row r="223" spans="2:10" x14ac:dyDescent="0.25">
      <c r="B223" s="31" t="s">
        <v>254</v>
      </c>
      <c r="C223" s="31" t="s">
        <v>184</v>
      </c>
      <c r="D223" s="31"/>
      <c r="E223" s="31" t="s">
        <v>165</v>
      </c>
      <c r="F223" s="31" t="s">
        <v>253</v>
      </c>
      <c r="G223" s="31" t="s">
        <v>252</v>
      </c>
      <c r="H223" s="31" t="s">
        <v>419</v>
      </c>
      <c r="I223" s="30">
        <v>11.41</v>
      </c>
      <c r="J223" s="30">
        <v>17557.75</v>
      </c>
    </row>
    <row r="224" spans="2:10" x14ac:dyDescent="0.25">
      <c r="B224" s="31" t="s">
        <v>334</v>
      </c>
      <c r="C224" s="31" t="s">
        <v>184</v>
      </c>
      <c r="D224" s="31"/>
      <c r="E224" s="31" t="s">
        <v>165</v>
      </c>
      <c r="F224" s="31" t="s">
        <v>333</v>
      </c>
      <c r="G224" s="31" t="s">
        <v>335</v>
      </c>
      <c r="H224" s="31" t="s">
        <v>418</v>
      </c>
      <c r="I224" s="30">
        <v>45.82</v>
      </c>
      <c r="J224" s="30">
        <v>17603.57</v>
      </c>
    </row>
    <row r="225" spans="1:10" x14ac:dyDescent="0.25">
      <c r="B225" s="31" t="s">
        <v>334</v>
      </c>
      <c r="C225" s="31" t="s">
        <v>184</v>
      </c>
      <c r="D225" s="31"/>
      <c r="E225" s="31" t="s">
        <v>165</v>
      </c>
      <c r="F225" s="31" t="s">
        <v>333</v>
      </c>
      <c r="G225" s="31" t="s">
        <v>332</v>
      </c>
      <c r="H225" s="31" t="s">
        <v>418</v>
      </c>
      <c r="I225" s="30">
        <v>10.72</v>
      </c>
      <c r="J225" s="30">
        <v>17614.29</v>
      </c>
    </row>
    <row r="226" spans="1:10" x14ac:dyDescent="0.25">
      <c r="B226" s="31" t="s">
        <v>167</v>
      </c>
      <c r="C226" s="31" t="s">
        <v>184</v>
      </c>
      <c r="D226" s="31"/>
      <c r="E226" s="31" t="s">
        <v>165</v>
      </c>
      <c r="F226" s="31" t="s">
        <v>331</v>
      </c>
      <c r="G226" s="31" t="s">
        <v>330</v>
      </c>
      <c r="H226" s="31" t="s">
        <v>418</v>
      </c>
      <c r="I226" s="30">
        <v>50.02</v>
      </c>
      <c r="J226" s="30">
        <v>17664.310000000001</v>
      </c>
    </row>
    <row r="227" spans="1:10" x14ac:dyDescent="0.25">
      <c r="B227" s="31" t="s">
        <v>167</v>
      </c>
      <c r="C227" s="31" t="s">
        <v>184</v>
      </c>
      <c r="D227" s="31"/>
      <c r="E227" s="31" t="s">
        <v>165</v>
      </c>
      <c r="F227" s="31" t="s">
        <v>331</v>
      </c>
      <c r="G227" s="31" t="s">
        <v>330</v>
      </c>
      <c r="H227" s="31" t="s">
        <v>418</v>
      </c>
      <c r="I227" s="30">
        <v>299</v>
      </c>
      <c r="J227" s="30">
        <v>17963.310000000001</v>
      </c>
    </row>
    <row r="228" spans="1:10" x14ac:dyDescent="0.25">
      <c r="B228" s="31" t="s">
        <v>167</v>
      </c>
      <c r="C228" s="31" t="s">
        <v>184</v>
      </c>
      <c r="D228" s="31"/>
      <c r="E228" s="31" t="s">
        <v>165</v>
      </c>
      <c r="F228" s="31" t="s">
        <v>333</v>
      </c>
      <c r="G228" s="31" t="s">
        <v>332</v>
      </c>
      <c r="H228" s="31" t="s">
        <v>418</v>
      </c>
      <c r="I228" s="30">
        <v>10.36</v>
      </c>
      <c r="J228" s="30">
        <v>17973.669999999998</v>
      </c>
    </row>
    <row r="229" spans="1:10" x14ac:dyDescent="0.25">
      <c r="B229" s="31" t="s">
        <v>167</v>
      </c>
      <c r="C229" s="31" t="s">
        <v>184</v>
      </c>
      <c r="D229" s="31"/>
      <c r="E229" s="31" t="s">
        <v>165</v>
      </c>
      <c r="F229" s="31" t="s">
        <v>333</v>
      </c>
      <c r="G229" s="31" t="s">
        <v>332</v>
      </c>
      <c r="H229" s="31" t="s">
        <v>418</v>
      </c>
      <c r="I229" s="30">
        <v>9.8800000000000008</v>
      </c>
      <c r="J229" s="30">
        <v>17983.55</v>
      </c>
    </row>
    <row r="230" spans="1:10" x14ac:dyDescent="0.25">
      <c r="A230" s="29" t="s">
        <v>417</v>
      </c>
      <c r="I230" s="28">
        <v>16755.36</v>
      </c>
    </row>
    <row r="231" spans="1:10" x14ac:dyDescent="0.25">
      <c r="A231" s="29" t="s">
        <v>7</v>
      </c>
    </row>
    <row r="232" spans="1:10" x14ac:dyDescent="0.25">
      <c r="B232" s="31" t="s">
        <v>223</v>
      </c>
      <c r="C232" s="31" t="s">
        <v>219</v>
      </c>
      <c r="D232" s="31" t="s">
        <v>218</v>
      </c>
      <c r="E232" s="31" t="s">
        <v>165</v>
      </c>
      <c r="F232" s="31" t="s">
        <v>221</v>
      </c>
      <c r="G232" s="31" t="s">
        <v>412</v>
      </c>
      <c r="H232" s="31" t="s">
        <v>151</v>
      </c>
      <c r="I232" s="30">
        <v>-1856.78</v>
      </c>
      <c r="J232" s="30">
        <v>-1856.78</v>
      </c>
    </row>
    <row r="233" spans="1:10" x14ac:dyDescent="0.25">
      <c r="B233" s="31" t="s">
        <v>223</v>
      </c>
      <c r="C233" s="31" t="s">
        <v>219</v>
      </c>
      <c r="D233" s="31" t="s">
        <v>218</v>
      </c>
      <c r="E233" s="31" t="s">
        <v>165</v>
      </c>
      <c r="F233" s="31" t="s">
        <v>222</v>
      </c>
      <c r="G233" s="31" t="s">
        <v>412</v>
      </c>
      <c r="H233" s="31" t="s">
        <v>151</v>
      </c>
      <c r="I233" s="30">
        <v>-1063.45</v>
      </c>
      <c r="J233" s="30">
        <v>-2920.23</v>
      </c>
    </row>
    <row r="234" spans="1:10" x14ac:dyDescent="0.25">
      <c r="B234" s="31" t="s">
        <v>223</v>
      </c>
      <c r="C234" s="31" t="s">
        <v>219</v>
      </c>
      <c r="D234" s="31" t="s">
        <v>218</v>
      </c>
      <c r="E234" s="31" t="s">
        <v>165</v>
      </c>
      <c r="F234" s="31" t="s">
        <v>217</v>
      </c>
      <c r="G234" s="31" t="s">
        <v>412</v>
      </c>
      <c r="H234" s="31" t="s">
        <v>151</v>
      </c>
      <c r="I234" s="30">
        <v>-1098.98</v>
      </c>
      <c r="J234" s="30">
        <v>-4019.21</v>
      </c>
    </row>
    <row r="235" spans="1:10" x14ac:dyDescent="0.25">
      <c r="B235" s="31" t="s">
        <v>223</v>
      </c>
      <c r="C235" s="31" t="s">
        <v>219</v>
      </c>
      <c r="D235" s="31" t="s">
        <v>218</v>
      </c>
      <c r="E235" s="31" t="s">
        <v>165</v>
      </c>
      <c r="F235" s="31" t="s">
        <v>220</v>
      </c>
      <c r="G235" s="31" t="s">
        <v>412</v>
      </c>
      <c r="H235" s="31" t="s">
        <v>151</v>
      </c>
      <c r="I235" s="30">
        <v>-1231.1300000000001</v>
      </c>
      <c r="J235" s="30">
        <v>-5250.34</v>
      </c>
    </row>
    <row r="236" spans="1:10" x14ac:dyDescent="0.25">
      <c r="B236" s="31" t="s">
        <v>223</v>
      </c>
      <c r="C236" s="31" t="s">
        <v>219</v>
      </c>
      <c r="D236" s="31" t="s">
        <v>218</v>
      </c>
      <c r="E236" s="31" t="s">
        <v>165</v>
      </c>
      <c r="F236" s="31" t="s">
        <v>217</v>
      </c>
      <c r="G236" s="31" t="s">
        <v>416</v>
      </c>
      <c r="H236" s="32" t="s">
        <v>364</v>
      </c>
      <c r="I236" s="30">
        <v>1098.98</v>
      </c>
      <c r="J236" s="30">
        <v>-4151.3599999999997</v>
      </c>
    </row>
    <row r="237" spans="1:10" x14ac:dyDescent="0.25">
      <c r="B237" s="31" t="s">
        <v>223</v>
      </c>
      <c r="C237" s="31" t="s">
        <v>219</v>
      </c>
      <c r="D237" s="31" t="s">
        <v>218</v>
      </c>
      <c r="E237" s="31" t="s">
        <v>165</v>
      </c>
      <c r="F237" s="31" t="s">
        <v>222</v>
      </c>
      <c r="G237" s="31" t="s">
        <v>416</v>
      </c>
      <c r="H237" s="32" t="s">
        <v>364</v>
      </c>
      <c r="I237" s="30">
        <v>1063.45</v>
      </c>
      <c r="J237" s="30">
        <v>-3087.91</v>
      </c>
    </row>
    <row r="238" spans="1:10" x14ac:dyDescent="0.25">
      <c r="B238" s="31" t="s">
        <v>223</v>
      </c>
      <c r="C238" s="31" t="s">
        <v>219</v>
      </c>
      <c r="D238" s="31" t="s">
        <v>218</v>
      </c>
      <c r="E238" s="31" t="s">
        <v>165</v>
      </c>
      <c r="F238" s="31" t="s">
        <v>221</v>
      </c>
      <c r="G238" s="31" t="s">
        <v>415</v>
      </c>
      <c r="H238" s="32" t="s">
        <v>364</v>
      </c>
      <c r="I238" s="30">
        <v>1856.78</v>
      </c>
      <c r="J238" s="30">
        <v>-1231.1300000000001</v>
      </c>
    </row>
    <row r="239" spans="1:10" ht="23.25" x14ac:dyDescent="0.25">
      <c r="B239" s="31" t="s">
        <v>223</v>
      </c>
      <c r="C239" s="31" t="s">
        <v>219</v>
      </c>
      <c r="D239" s="31" t="s">
        <v>218</v>
      </c>
      <c r="E239" s="31" t="s">
        <v>165</v>
      </c>
      <c r="F239" s="31" t="s">
        <v>220</v>
      </c>
      <c r="G239" s="31" t="s">
        <v>414</v>
      </c>
      <c r="H239" s="32" t="s">
        <v>364</v>
      </c>
      <c r="I239" s="30">
        <v>1231.1300000000001</v>
      </c>
      <c r="J239" s="30">
        <v>0</v>
      </c>
    </row>
    <row r="240" spans="1:10" x14ac:dyDescent="0.25">
      <c r="B240" s="31" t="s">
        <v>173</v>
      </c>
      <c r="C240" s="31" t="s">
        <v>219</v>
      </c>
      <c r="D240" s="31" t="s">
        <v>218</v>
      </c>
      <c r="E240" s="31" t="s">
        <v>165</v>
      </c>
      <c r="F240" s="31" t="s">
        <v>217</v>
      </c>
      <c r="G240" s="31" t="s">
        <v>411</v>
      </c>
      <c r="H240" s="32" t="s">
        <v>364</v>
      </c>
      <c r="I240" s="30">
        <v>1460.48</v>
      </c>
      <c r="J240" s="30">
        <v>1460.48</v>
      </c>
    </row>
    <row r="241" spans="1:10" x14ac:dyDescent="0.25">
      <c r="B241" s="31" t="s">
        <v>173</v>
      </c>
      <c r="C241" s="31" t="s">
        <v>219</v>
      </c>
      <c r="D241" s="31" t="s">
        <v>218</v>
      </c>
      <c r="E241" s="31" t="s">
        <v>165</v>
      </c>
      <c r="F241" s="31" t="s">
        <v>220</v>
      </c>
      <c r="G241" s="31" t="s">
        <v>413</v>
      </c>
      <c r="H241" s="32" t="s">
        <v>364</v>
      </c>
      <c r="I241" s="30">
        <v>1102.55</v>
      </c>
      <c r="J241" s="30">
        <v>2563.0300000000002</v>
      </c>
    </row>
    <row r="242" spans="1:10" x14ac:dyDescent="0.25">
      <c r="B242" s="31" t="s">
        <v>173</v>
      </c>
      <c r="C242" s="31" t="s">
        <v>219</v>
      </c>
      <c r="D242" s="31" t="s">
        <v>218</v>
      </c>
      <c r="E242" s="31" t="s">
        <v>165</v>
      </c>
      <c r="F242" s="31" t="s">
        <v>221</v>
      </c>
      <c r="G242" s="31" t="s">
        <v>412</v>
      </c>
      <c r="H242" s="31" t="s">
        <v>151</v>
      </c>
      <c r="I242" s="30">
        <v>-2705.86</v>
      </c>
      <c r="J242" s="30">
        <v>-142.83000000000001</v>
      </c>
    </row>
    <row r="243" spans="1:10" x14ac:dyDescent="0.25">
      <c r="B243" s="31" t="s">
        <v>173</v>
      </c>
      <c r="C243" s="31" t="s">
        <v>219</v>
      </c>
      <c r="D243" s="31" t="s">
        <v>218</v>
      </c>
      <c r="E243" s="31" t="s">
        <v>165</v>
      </c>
      <c r="F243" s="31" t="s">
        <v>220</v>
      </c>
      <c r="G243" s="31" t="s">
        <v>412</v>
      </c>
      <c r="H243" s="31" t="s">
        <v>151</v>
      </c>
      <c r="I243" s="30">
        <v>-1102.55</v>
      </c>
      <c r="J243" s="30">
        <v>-1245.3800000000001</v>
      </c>
    </row>
    <row r="244" spans="1:10" x14ac:dyDescent="0.25">
      <c r="B244" s="31" t="s">
        <v>173</v>
      </c>
      <c r="C244" s="31" t="s">
        <v>219</v>
      </c>
      <c r="D244" s="31" t="s">
        <v>218</v>
      </c>
      <c r="E244" s="31" t="s">
        <v>165</v>
      </c>
      <c r="F244" s="31" t="s">
        <v>221</v>
      </c>
      <c r="G244" s="31" t="s">
        <v>411</v>
      </c>
      <c r="H244" s="32" t="s">
        <v>364</v>
      </c>
      <c r="I244" s="30">
        <v>2705.86</v>
      </c>
      <c r="J244" s="30">
        <v>1460.48</v>
      </c>
    </row>
    <row r="245" spans="1:10" x14ac:dyDescent="0.25">
      <c r="B245" s="31" t="s">
        <v>173</v>
      </c>
      <c r="C245" s="31" t="s">
        <v>219</v>
      </c>
      <c r="D245" s="31" t="s">
        <v>218</v>
      </c>
      <c r="E245" s="31" t="s">
        <v>165</v>
      </c>
      <c r="F245" s="31" t="s">
        <v>217</v>
      </c>
      <c r="G245" s="31" t="s">
        <v>412</v>
      </c>
      <c r="H245" s="31" t="s">
        <v>151</v>
      </c>
      <c r="I245" s="30">
        <v>-1460.48</v>
      </c>
      <c r="J245" s="30">
        <v>0</v>
      </c>
    </row>
    <row r="246" spans="1:10" x14ac:dyDescent="0.25">
      <c r="B246" s="31" t="s">
        <v>173</v>
      </c>
      <c r="C246" s="31" t="s">
        <v>219</v>
      </c>
      <c r="D246" s="31" t="s">
        <v>218</v>
      </c>
      <c r="E246" s="31" t="s">
        <v>165</v>
      </c>
      <c r="F246" s="31" t="s">
        <v>222</v>
      </c>
      <c r="G246" s="31" t="s">
        <v>412</v>
      </c>
      <c r="H246" s="31" t="s">
        <v>151</v>
      </c>
      <c r="I246" s="30">
        <v>-1254.94</v>
      </c>
      <c r="J246" s="30">
        <v>-1254.94</v>
      </c>
    </row>
    <row r="247" spans="1:10" x14ac:dyDescent="0.25">
      <c r="B247" s="31" t="s">
        <v>173</v>
      </c>
      <c r="C247" s="31" t="s">
        <v>219</v>
      </c>
      <c r="D247" s="31" t="s">
        <v>218</v>
      </c>
      <c r="E247" s="31" t="s">
        <v>165</v>
      </c>
      <c r="F247" s="31" t="s">
        <v>222</v>
      </c>
      <c r="G247" s="31" t="s">
        <v>411</v>
      </c>
      <c r="H247" s="32" t="s">
        <v>364</v>
      </c>
      <c r="I247" s="30">
        <v>1254.94</v>
      </c>
      <c r="J247" s="30">
        <v>0</v>
      </c>
    </row>
    <row r="248" spans="1:10" x14ac:dyDescent="0.25">
      <c r="A248" s="29" t="s">
        <v>410</v>
      </c>
      <c r="I248" s="28">
        <v>0</v>
      </c>
    </row>
    <row r="249" spans="1:10" x14ac:dyDescent="0.25">
      <c r="A249" s="29" t="s">
        <v>30</v>
      </c>
    </row>
    <row r="250" spans="1:10" x14ac:dyDescent="0.25">
      <c r="A250" s="29" t="s">
        <v>409</v>
      </c>
    </row>
    <row r="251" spans="1:10" x14ac:dyDescent="0.25">
      <c r="B251" s="31" t="s">
        <v>223</v>
      </c>
      <c r="C251" s="31" t="s">
        <v>400</v>
      </c>
      <c r="D251" s="31"/>
      <c r="E251" s="31" t="s">
        <v>165</v>
      </c>
      <c r="F251" s="31" t="s">
        <v>239</v>
      </c>
      <c r="G251" s="31" t="s">
        <v>122</v>
      </c>
      <c r="H251" s="31" t="s">
        <v>151</v>
      </c>
      <c r="I251" s="30">
        <v>-1193.5</v>
      </c>
      <c r="J251" s="30">
        <v>-1193.5</v>
      </c>
    </row>
    <row r="252" spans="1:10" x14ac:dyDescent="0.25">
      <c r="B252" s="31" t="s">
        <v>223</v>
      </c>
      <c r="C252" s="31" t="s">
        <v>219</v>
      </c>
      <c r="D252" s="31" t="s">
        <v>218</v>
      </c>
      <c r="E252" s="31" t="s">
        <v>165</v>
      </c>
      <c r="F252" s="31" t="s">
        <v>220</v>
      </c>
      <c r="G252" s="31" t="s">
        <v>122</v>
      </c>
      <c r="H252" s="31" t="s">
        <v>7</v>
      </c>
      <c r="I252" s="30">
        <v>331.6</v>
      </c>
      <c r="J252" s="30">
        <v>-861.9</v>
      </c>
    </row>
    <row r="253" spans="1:10" x14ac:dyDescent="0.25">
      <c r="B253" s="31" t="s">
        <v>223</v>
      </c>
      <c r="C253" s="31" t="s">
        <v>219</v>
      </c>
      <c r="D253" s="31" t="s">
        <v>218</v>
      </c>
      <c r="E253" s="31" t="s">
        <v>165</v>
      </c>
      <c r="F253" s="31" t="s">
        <v>217</v>
      </c>
      <c r="G253" s="31" t="s">
        <v>122</v>
      </c>
      <c r="H253" s="31" t="s">
        <v>7</v>
      </c>
      <c r="I253" s="30">
        <v>283.58</v>
      </c>
      <c r="J253" s="30">
        <v>-578.32000000000005</v>
      </c>
    </row>
    <row r="254" spans="1:10" x14ac:dyDescent="0.25">
      <c r="B254" s="31" t="s">
        <v>223</v>
      </c>
      <c r="C254" s="31" t="s">
        <v>219</v>
      </c>
      <c r="D254" s="31" t="s">
        <v>218</v>
      </c>
      <c r="E254" s="31" t="s">
        <v>165</v>
      </c>
      <c r="F254" s="31" t="s">
        <v>222</v>
      </c>
      <c r="G254" s="31" t="s">
        <v>122</v>
      </c>
      <c r="H254" s="31" t="s">
        <v>7</v>
      </c>
      <c r="I254" s="30">
        <v>270.68</v>
      </c>
      <c r="J254" s="30">
        <v>-307.64</v>
      </c>
    </row>
    <row r="255" spans="1:10" x14ac:dyDescent="0.25">
      <c r="B255" s="31" t="s">
        <v>223</v>
      </c>
      <c r="C255" s="31" t="s">
        <v>219</v>
      </c>
      <c r="D255" s="31" t="s">
        <v>218</v>
      </c>
      <c r="E255" s="31" t="s">
        <v>165</v>
      </c>
      <c r="F255" s="31" t="s">
        <v>221</v>
      </c>
      <c r="G255" s="31" t="s">
        <v>122</v>
      </c>
      <c r="H255" s="31" t="s">
        <v>7</v>
      </c>
      <c r="I255" s="30">
        <v>307.64</v>
      </c>
      <c r="J255" s="30">
        <v>0</v>
      </c>
    </row>
    <row r="256" spans="1:10" x14ac:dyDescent="0.25">
      <c r="B256" s="31" t="s">
        <v>178</v>
      </c>
      <c r="C256" s="31" t="s">
        <v>401</v>
      </c>
      <c r="D256" s="31"/>
      <c r="E256" s="31" t="s">
        <v>165</v>
      </c>
      <c r="F256" s="31"/>
      <c r="G256" s="31" t="s">
        <v>122</v>
      </c>
      <c r="H256" s="32" t="s">
        <v>364</v>
      </c>
      <c r="I256" s="30">
        <v>1193.5</v>
      </c>
      <c r="J256" s="30">
        <v>1193.5</v>
      </c>
    </row>
    <row r="257" spans="1:10" x14ac:dyDescent="0.25">
      <c r="B257" s="31" t="s">
        <v>173</v>
      </c>
      <c r="C257" s="31" t="s">
        <v>219</v>
      </c>
      <c r="D257" s="31" t="s">
        <v>218</v>
      </c>
      <c r="E257" s="31" t="s">
        <v>165</v>
      </c>
      <c r="F257" s="31" t="s">
        <v>217</v>
      </c>
      <c r="G257" s="31" t="s">
        <v>122</v>
      </c>
      <c r="H257" s="31" t="s">
        <v>7</v>
      </c>
      <c r="I257" s="30">
        <v>414.94</v>
      </c>
      <c r="J257" s="30">
        <v>1608.44</v>
      </c>
    </row>
    <row r="258" spans="1:10" x14ac:dyDescent="0.25">
      <c r="B258" s="31" t="s">
        <v>173</v>
      </c>
      <c r="C258" s="31" t="s">
        <v>219</v>
      </c>
      <c r="D258" s="31" t="s">
        <v>218</v>
      </c>
      <c r="E258" s="31" t="s">
        <v>165</v>
      </c>
      <c r="F258" s="31" t="s">
        <v>220</v>
      </c>
      <c r="G258" s="31" t="s">
        <v>122</v>
      </c>
      <c r="H258" s="31" t="s">
        <v>7</v>
      </c>
      <c r="I258" s="30">
        <v>284.86</v>
      </c>
      <c r="J258" s="30">
        <v>1893.3</v>
      </c>
    </row>
    <row r="259" spans="1:10" x14ac:dyDescent="0.25">
      <c r="B259" s="31" t="s">
        <v>173</v>
      </c>
      <c r="C259" s="31" t="s">
        <v>219</v>
      </c>
      <c r="D259" s="31" t="s">
        <v>218</v>
      </c>
      <c r="E259" s="31" t="s">
        <v>165</v>
      </c>
      <c r="F259" s="31" t="s">
        <v>222</v>
      </c>
      <c r="G259" s="31" t="s">
        <v>122</v>
      </c>
      <c r="H259" s="31" t="s">
        <v>7</v>
      </c>
      <c r="I259" s="30">
        <v>340.24</v>
      </c>
      <c r="J259" s="30">
        <v>2233.54</v>
      </c>
    </row>
    <row r="260" spans="1:10" x14ac:dyDescent="0.25">
      <c r="B260" s="31" t="s">
        <v>173</v>
      </c>
      <c r="C260" s="31" t="s">
        <v>219</v>
      </c>
      <c r="D260" s="31" t="s">
        <v>218</v>
      </c>
      <c r="E260" s="31" t="s">
        <v>165</v>
      </c>
      <c r="F260" s="31" t="s">
        <v>221</v>
      </c>
      <c r="G260" s="31" t="s">
        <v>122</v>
      </c>
      <c r="H260" s="31" t="s">
        <v>7</v>
      </c>
      <c r="I260" s="30">
        <v>448.28</v>
      </c>
      <c r="J260" s="30">
        <v>2681.82</v>
      </c>
    </row>
    <row r="261" spans="1:10" x14ac:dyDescent="0.25">
      <c r="A261" s="29" t="s">
        <v>408</v>
      </c>
      <c r="I261" s="28">
        <v>2681.82</v>
      </c>
    </row>
    <row r="262" spans="1:10" x14ac:dyDescent="0.25">
      <c r="A262" s="29" t="s">
        <v>407</v>
      </c>
    </row>
    <row r="263" spans="1:10" x14ac:dyDescent="0.25">
      <c r="B263" s="31" t="s">
        <v>223</v>
      </c>
      <c r="C263" s="31" t="s">
        <v>219</v>
      </c>
      <c r="D263" s="31" t="s">
        <v>218</v>
      </c>
      <c r="E263" s="31" t="s">
        <v>165</v>
      </c>
      <c r="F263" s="31" t="s">
        <v>222</v>
      </c>
      <c r="G263" s="31" t="s">
        <v>121</v>
      </c>
      <c r="H263" s="31" t="s">
        <v>7</v>
      </c>
      <c r="I263" s="30">
        <v>0</v>
      </c>
      <c r="J263" s="30">
        <v>0</v>
      </c>
    </row>
    <row r="264" spans="1:10" x14ac:dyDescent="0.25">
      <c r="B264" s="31" t="s">
        <v>223</v>
      </c>
      <c r="C264" s="31" t="s">
        <v>219</v>
      </c>
      <c r="D264" s="31" t="s">
        <v>218</v>
      </c>
      <c r="E264" s="31" t="s">
        <v>165</v>
      </c>
      <c r="F264" s="31" t="s">
        <v>220</v>
      </c>
      <c r="G264" s="31" t="s">
        <v>121</v>
      </c>
      <c r="H264" s="31" t="s">
        <v>7</v>
      </c>
      <c r="I264" s="30">
        <v>0</v>
      </c>
      <c r="J264" s="30">
        <v>0</v>
      </c>
    </row>
    <row r="265" spans="1:10" x14ac:dyDescent="0.25">
      <c r="B265" s="31" t="s">
        <v>223</v>
      </c>
      <c r="C265" s="31" t="s">
        <v>219</v>
      </c>
      <c r="D265" s="31" t="s">
        <v>218</v>
      </c>
      <c r="E265" s="31" t="s">
        <v>165</v>
      </c>
      <c r="F265" s="31" t="s">
        <v>221</v>
      </c>
      <c r="G265" s="31" t="s">
        <v>121</v>
      </c>
      <c r="H265" s="31" t="s">
        <v>7</v>
      </c>
      <c r="I265" s="30">
        <v>0</v>
      </c>
      <c r="J265" s="30">
        <v>0</v>
      </c>
    </row>
    <row r="266" spans="1:10" x14ac:dyDescent="0.25">
      <c r="B266" s="31" t="s">
        <v>223</v>
      </c>
      <c r="C266" s="31" t="s">
        <v>219</v>
      </c>
      <c r="D266" s="31" t="s">
        <v>218</v>
      </c>
      <c r="E266" s="31" t="s">
        <v>165</v>
      </c>
      <c r="F266" s="31" t="s">
        <v>217</v>
      </c>
      <c r="G266" s="31" t="s">
        <v>121</v>
      </c>
      <c r="H266" s="31" t="s">
        <v>7</v>
      </c>
      <c r="I266" s="30">
        <v>0</v>
      </c>
      <c r="J266" s="30">
        <v>0</v>
      </c>
    </row>
    <row r="267" spans="1:10" x14ac:dyDescent="0.25">
      <c r="B267" s="31" t="s">
        <v>178</v>
      </c>
      <c r="C267" s="31" t="s">
        <v>401</v>
      </c>
      <c r="D267" s="31"/>
      <c r="E267" s="31" t="s">
        <v>165</v>
      </c>
      <c r="F267" s="31"/>
      <c r="G267" s="31" t="s">
        <v>121</v>
      </c>
      <c r="H267" s="32" t="s">
        <v>364</v>
      </c>
      <c r="I267" s="30">
        <v>168</v>
      </c>
      <c r="J267" s="30">
        <v>168</v>
      </c>
    </row>
    <row r="268" spans="1:10" x14ac:dyDescent="0.25">
      <c r="B268" s="31" t="s">
        <v>173</v>
      </c>
      <c r="C268" s="31" t="s">
        <v>219</v>
      </c>
      <c r="D268" s="31" t="s">
        <v>218</v>
      </c>
      <c r="E268" s="31" t="s">
        <v>165</v>
      </c>
      <c r="F268" s="31" t="s">
        <v>222</v>
      </c>
      <c r="G268" s="31" t="s">
        <v>121</v>
      </c>
      <c r="H268" s="31" t="s">
        <v>7</v>
      </c>
      <c r="I268" s="30">
        <v>0</v>
      </c>
      <c r="J268" s="30">
        <v>168</v>
      </c>
    </row>
    <row r="269" spans="1:10" x14ac:dyDescent="0.25">
      <c r="B269" s="31" t="s">
        <v>173</v>
      </c>
      <c r="C269" s="31" t="s">
        <v>219</v>
      </c>
      <c r="D269" s="31" t="s">
        <v>218</v>
      </c>
      <c r="E269" s="31" t="s">
        <v>165</v>
      </c>
      <c r="F269" s="31" t="s">
        <v>220</v>
      </c>
      <c r="G269" s="31" t="s">
        <v>121</v>
      </c>
      <c r="H269" s="31" t="s">
        <v>7</v>
      </c>
      <c r="I269" s="30">
        <v>0</v>
      </c>
      <c r="J269" s="30">
        <v>168</v>
      </c>
    </row>
    <row r="270" spans="1:10" x14ac:dyDescent="0.25">
      <c r="B270" s="31" t="s">
        <v>173</v>
      </c>
      <c r="C270" s="31" t="s">
        <v>219</v>
      </c>
      <c r="D270" s="31" t="s">
        <v>218</v>
      </c>
      <c r="E270" s="31" t="s">
        <v>165</v>
      </c>
      <c r="F270" s="31" t="s">
        <v>217</v>
      </c>
      <c r="G270" s="31" t="s">
        <v>121</v>
      </c>
      <c r="H270" s="31" t="s">
        <v>7</v>
      </c>
      <c r="I270" s="30">
        <v>0</v>
      </c>
      <c r="J270" s="30">
        <v>168</v>
      </c>
    </row>
    <row r="271" spans="1:10" x14ac:dyDescent="0.25">
      <c r="B271" s="31" t="s">
        <v>173</v>
      </c>
      <c r="C271" s="31" t="s">
        <v>219</v>
      </c>
      <c r="D271" s="31" t="s">
        <v>218</v>
      </c>
      <c r="E271" s="31" t="s">
        <v>165</v>
      </c>
      <c r="F271" s="31" t="s">
        <v>221</v>
      </c>
      <c r="G271" s="31" t="s">
        <v>121</v>
      </c>
      <c r="H271" s="31" t="s">
        <v>7</v>
      </c>
      <c r="I271" s="30">
        <v>0</v>
      </c>
      <c r="J271" s="30">
        <v>168</v>
      </c>
    </row>
    <row r="272" spans="1:10" x14ac:dyDescent="0.25">
      <c r="A272" s="29" t="s">
        <v>406</v>
      </c>
      <c r="I272" s="28">
        <v>168</v>
      </c>
    </row>
    <row r="273" spans="1:10" x14ac:dyDescent="0.25">
      <c r="A273" s="29" t="s">
        <v>405</v>
      </c>
    </row>
    <row r="274" spans="1:10" x14ac:dyDescent="0.25">
      <c r="B274" s="31" t="s">
        <v>223</v>
      </c>
      <c r="C274" s="31" t="s">
        <v>219</v>
      </c>
      <c r="D274" s="31" t="s">
        <v>218</v>
      </c>
      <c r="E274" s="31" t="s">
        <v>165</v>
      </c>
      <c r="F274" s="31" t="s">
        <v>217</v>
      </c>
      <c r="G274" s="31" t="s">
        <v>120</v>
      </c>
      <c r="H274" s="31" t="s">
        <v>7</v>
      </c>
      <c r="I274" s="30">
        <v>44.87</v>
      </c>
      <c r="J274" s="30">
        <v>44.87</v>
      </c>
    </row>
    <row r="275" spans="1:10" x14ac:dyDescent="0.25">
      <c r="B275" s="31" t="s">
        <v>223</v>
      </c>
      <c r="C275" s="31" t="s">
        <v>219</v>
      </c>
      <c r="D275" s="31" t="s">
        <v>218</v>
      </c>
      <c r="E275" s="31" t="s">
        <v>165</v>
      </c>
      <c r="F275" s="31" t="s">
        <v>221</v>
      </c>
      <c r="G275" s="31" t="s">
        <v>120</v>
      </c>
      <c r="H275" s="31" t="s">
        <v>7</v>
      </c>
      <c r="I275" s="30">
        <v>0</v>
      </c>
      <c r="J275" s="30">
        <v>44.87</v>
      </c>
    </row>
    <row r="276" spans="1:10" x14ac:dyDescent="0.25">
      <c r="B276" s="31" t="s">
        <v>223</v>
      </c>
      <c r="C276" s="31" t="s">
        <v>219</v>
      </c>
      <c r="D276" s="31" t="s">
        <v>218</v>
      </c>
      <c r="E276" s="31" t="s">
        <v>165</v>
      </c>
      <c r="F276" s="31" t="s">
        <v>220</v>
      </c>
      <c r="G276" s="31" t="s">
        <v>120</v>
      </c>
      <c r="H276" s="31" t="s">
        <v>7</v>
      </c>
      <c r="I276" s="30">
        <v>53.99</v>
      </c>
      <c r="J276" s="30">
        <v>98.86</v>
      </c>
    </row>
    <row r="277" spans="1:10" x14ac:dyDescent="0.25">
      <c r="B277" s="31" t="s">
        <v>223</v>
      </c>
      <c r="C277" s="31" t="s">
        <v>219</v>
      </c>
      <c r="D277" s="31" t="s">
        <v>218</v>
      </c>
      <c r="E277" s="31" t="s">
        <v>165</v>
      </c>
      <c r="F277" s="31" t="s">
        <v>222</v>
      </c>
      <c r="G277" s="31" t="s">
        <v>120</v>
      </c>
      <c r="H277" s="31" t="s">
        <v>7</v>
      </c>
      <c r="I277" s="30">
        <v>42.41</v>
      </c>
      <c r="J277" s="30">
        <v>141.27000000000001</v>
      </c>
    </row>
    <row r="278" spans="1:10" x14ac:dyDescent="0.25">
      <c r="B278" s="31" t="s">
        <v>223</v>
      </c>
      <c r="C278" s="31" t="s">
        <v>400</v>
      </c>
      <c r="D278" s="31"/>
      <c r="E278" s="31" t="s">
        <v>165</v>
      </c>
      <c r="F278" s="31" t="s">
        <v>239</v>
      </c>
      <c r="G278" s="31" t="s">
        <v>120</v>
      </c>
      <c r="H278" s="31" t="s">
        <v>151</v>
      </c>
      <c r="I278" s="30">
        <v>-141.27000000000001</v>
      </c>
      <c r="J278" s="30">
        <v>0</v>
      </c>
    </row>
    <row r="279" spans="1:10" x14ac:dyDescent="0.25">
      <c r="B279" s="31" t="s">
        <v>178</v>
      </c>
      <c r="C279" s="31" t="s">
        <v>401</v>
      </c>
      <c r="D279" s="31"/>
      <c r="E279" s="31" t="s">
        <v>165</v>
      </c>
      <c r="F279" s="31"/>
      <c r="G279" s="31" t="s">
        <v>120</v>
      </c>
      <c r="H279" s="32" t="s">
        <v>364</v>
      </c>
      <c r="I279" s="30">
        <v>141.27000000000001</v>
      </c>
      <c r="J279" s="30">
        <v>141.27000000000001</v>
      </c>
    </row>
    <row r="280" spans="1:10" x14ac:dyDescent="0.25">
      <c r="B280" s="31" t="s">
        <v>173</v>
      </c>
      <c r="C280" s="31" t="s">
        <v>219</v>
      </c>
      <c r="D280" s="31" t="s">
        <v>218</v>
      </c>
      <c r="E280" s="31" t="s">
        <v>165</v>
      </c>
      <c r="F280" s="31" t="s">
        <v>217</v>
      </c>
      <c r="G280" s="31" t="s">
        <v>120</v>
      </c>
      <c r="H280" s="31" t="s">
        <v>7</v>
      </c>
      <c r="I280" s="30">
        <v>69.83</v>
      </c>
      <c r="J280" s="30">
        <v>211.1</v>
      </c>
    </row>
    <row r="281" spans="1:10" x14ac:dyDescent="0.25">
      <c r="B281" s="31" t="s">
        <v>173</v>
      </c>
      <c r="C281" s="31" t="s">
        <v>219</v>
      </c>
      <c r="D281" s="31" t="s">
        <v>218</v>
      </c>
      <c r="E281" s="31" t="s">
        <v>165</v>
      </c>
      <c r="F281" s="31" t="s">
        <v>222</v>
      </c>
      <c r="G281" s="31" t="s">
        <v>120</v>
      </c>
      <c r="H281" s="31" t="s">
        <v>7</v>
      </c>
      <c r="I281" s="30">
        <v>55.63</v>
      </c>
      <c r="J281" s="30">
        <v>266.73</v>
      </c>
    </row>
    <row r="282" spans="1:10" x14ac:dyDescent="0.25">
      <c r="B282" s="31" t="s">
        <v>173</v>
      </c>
      <c r="C282" s="31" t="s">
        <v>219</v>
      </c>
      <c r="D282" s="31" t="s">
        <v>218</v>
      </c>
      <c r="E282" s="31" t="s">
        <v>165</v>
      </c>
      <c r="F282" s="31" t="s">
        <v>221</v>
      </c>
      <c r="G282" s="31" t="s">
        <v>120</v>
      </c>
      <c r="H282" s="31" t="s">
        <v>7</v>
      </c>
      <c r="I282" s="30">
        <v>0</v>
      </c>
      <c r="J282" s="30">
        <v>266.73</v>
      </c>
    </row>
    <row r="283" spans="1:10" x14ac:dyDescent="0.25">
      <c r="B283" s="31" t="s">
        <v>173</v>
      </c>
      <c r="C283" s="31" t="s">
        <v>219</v>
      </c>
      <c r="D283" s="31" t="s">
        <v>218</v>
      </c>
      <c r="E283" s="31" t="s">
        <v>165</v>
      </c>
      <c r="F283" s="31" t="s">
        <v>220</v>
      </c>
      <c r="G283" s="31" t="s">
        <v>120</v>
      </c>
      <c r="H283" s="31" t="s">
        <v>7</v>
      </c>
      <c r="I283" s="30">
        <v>45.11</v>
      </c>
      <c r="J283" s="30">
        <v>311.83999999999997</v>
      </c>
    </row>
    <row r="284" spans="1:10" x14ac:dyDescent="0.25">
      <c r="A284" s="29" t="s">
        <v>404</v>
      </c>
      <c r="I284" s="28">
        <v>311.83999999999997</v>
      </c>
    </row>
    <row r="285" spans="1:10" x14ac:dyDescent="0.25">
      <c r="A285" s="29" t="s">
        <v>403</v>
      </c>
    </row>
    <row r="286" spans="1:10" x14ac:dyDescent="0.25">
      <c r="B286" s="31" t="s">
        <v>223</v>
      </c>
      <c r="C286" s="31" t="s">
        <v>219</v>
      </c>
      <c r="D286" s="31" t="s">
        <v>218</v>
      </c>
      <c r="E286" s="31" t="s">
        <v>165</v>
      </c>
      <c r="F286" s="31" t="s">
        <v>220</v>
      </c>
      <c r="G286" s="31" t="s">
        <v>119</v>
      </c>
      <c r="H286" s="31" t="s">
        <v>7</v>
      </c>
      <c r="I286" s="30">
        <v>0</v>
      </c>
      <c r="J286" s="30">
        <v>0</v>
      </c>
    </row>
    <row r="287" spans="1:10" x14ac:dyDescent="0.25">
      <c r="B287" s="31" t="s">
        <v>223</v>
      </c>
      <c r="C287" s="31" t="s">
        <v>219</v>
      </c>
      <c r="D287" s="31" t="s">
        <v>218</v>
      </c>
      <c r="E287" s="31" t="s">
        <v>165</v>
      </c>
      <c r="F287" s="31" t="s">
        <v>221</v>
      </c>
      <c r="G287" s="31" t="s">
        <v>119</v>
      </c>
      <c r="H287" s="31" t="s">
        <v>7</v>
      </c>
      <c r="I287" s="30">
        <v>0</v>
      </c>
      <c r="J287" s="30">
        <v>0</v>
      </c>
    </row>
    <row r="288" spans="1:10" x14ac:dyDescent="0.25">
      <c r="B288" s="31" t="s">
        <v>223</v>
      </c>
      <c r="C288" s="31" t="s">
        <v>219</v>
      </c>
      <c r="D288" s="31" t="s">
        <v>218</v>
      </c>
      <c r="E288" s="31" t="s">
        <v>165</v>
      </c>
      <c r="F288" s="31" t="s">
        <v>222</v>
      </c>
      <c r="G288" s="31" t="s">
        <v>119</v>
      </c>
      <c r="H288" s="31" t="s">
        <v>7</v>
      </c>
      <c r="I288" s="30">
        <v>0</v>
      </c>
      <c r="J288" s="30">
        <v>0</v>
      </c>
    </row>
    <row r="289" spans="1:10" x14ac:dyDescent="0.25">
      <c r="B289" s="31" t="s">
        <v>223</v>
      </c>
      <c r="C289" s="31" t="s">
        <v>219</v>
      </c>
      <c r="D289" s="31" t="s">
        <v>218</v>
      </c>
      <c r="E289" s="31" t="s">
        <v>165</v>
      </c>
      <c r="F289" s="31" t="s">
        <v>217</v>
      </c>
      <c r="G289" s="31" t="s">
        <v>119</v>
      </c>
      <c r="H289" s="31" t="s">
        <v>7</v>
      </c>
      <c r="I289" s="30">
        <v>0</v>
      </c>
      <c r="J289" s="30">
        <v>0</v>
      </c>
    </row>
    <row r="290" spans="1:10" ht="23.25" x14ac:dyDescent="0.25">
      <c r="B290" s="31" t="s">
        <v>242</v>
      </c>
      <c r="C290" s="31" t="s">
        <v>184</v>
      </c>
      <c r="D290" s="31"/>
      <c r="E290" s="31" t="s">
        <v>165</v>
      </c>
      <c r="F290" s="31" t="s">
        <v>399</v>
      </c>
      <c r="G290" s="31" t="s">
        <v>402</v>
      </c>
      <c r="H290" s="31" t="s">
        <v>151</v>
      </c>
      <c r="I290" s="30">
        <v>-389.14</v>
      </c>
      <c r="J290" s="30">
        <v>-389.14</v>
      </c>
    </row>
    <row r="291" spans="1:10" x14ac:dyDescent="0.25">
      <c r="B291" s="31" t="s">
        <v>178</v>
      </c>
      <c r="C291" s="31" t="s">
        <v>401</v>
      </c>
      <c r="D291" s="31"/>
      <c r="E291" s="31" t="s">
        <v>165</v>
      </c>
      <c r="F291" s="31"/>
      <c r="G291" s="31" t="s">
        <v>119</v>
      </c>
      <c r="H291" s="32" t="s">
        <v>364</v>
      </c>
      <c r="I291" s="30">
        <v>394.05</v>
      </c>
      <c r="J291" s="30">
        <v>4.91</v>
      </c>
    </row>
    <row r="292" spans="1:10" x14ac:dyDescent="0.25">
      <c r="B292" s="31" t="s">
        <v>173</v>
      </c>
      <c r="C292" s="31" t="s">
        <v>219</v>
      </c>
      <c r="D292" s="31" t="s">
        <v>218</v>
      </c>
      <c r="E292" s="31" t="s">
        <v>165</v>
      </c>
      <c r="F292" s="31" t="s">
        <v>220</v>
      </c>
      <c r="G292" s="31" t="s">
        <v>119</v>
      </c>
      <c r="H292" s="31" t="s">
        <v>7</v>
      </c>
      <c r="I292" s="30">
        <v>0</v>
      </c>
      <c r="J292" s="30">
        <v>4.91</v>
      </c>
    </row>
    <row r="293" spans="1:10" x14ac:dyDescent="0.25">
      <c r="B293" s="31" t="s">
        <v>173</v>
      </c>
      <c r="C293" s="31" t="s">
        <v>219</v>
      </c>
      <c r="D293" s="31" t="s">
        <v>218</v>
      </c>
      <c r="E293" s="31" t="s">
        <v>165</v>
      </c>
      <c r="F293" s="31" t="s">
        <v>222</v>
      </c>
      <c r="G293" s="31" t="s">
        <v>119</v>
      </c>
      <c r="H293" s="31" t="s">
        <v>7</v>
      </c>
      <c r="I293" s="30">
        <v>0</v>
      </c>
      <c r="J293" s="30">
        <v>4.91</v>
      </c>
    </row>
    <row r="294" spans="1:10" x14ac:dyDescent="0.25">
      <c r="B294" s="31" t="s">
        <v>173</v>
      </c>
      <c r="C294" s="31" t="s">
        <v>219</v>
      </c>
      <c r="D294" s="31" t="s">
        <v>218</v>
      </c>
      <c r="E294" s="31" t="s">
        <v>165</v>
      </c>
      <c r="F294" s="31" t="s">
        <v>221</v>
      </c>
      <c r="G294" s="31" t="s">
        <v>119</v>
      </c>
      <c r="H294" s="31" t="s">
        <v>7</v>
      </c>
      <c r="I294" s="30">
        <v>0</v>
      </c>
      <c r="J294" s="30">
        <v>4.91</v>
      </c>
    </row>
    <row r="295" spans="1:10" x14ac:dyDescent="0.25">
      <c r="B295" s="31" t="s">
        <v>173</v>
      </c>
      <c r="C295" s="31" t="s">
        <v>219</v>
      </c>
      <c r="D295" s="31" t="s">
        <v>218</v>
      </c>
      <c r="E295" s="31" t="s">
        <v>165</v>
      </c>
      <c r="F295" s="31" t="s">
        <v>217</v>
      </c>
      <c r="G295" s="31" t="s">
        <v>119</v>
      </c>
      <c r="H295" s="31" t="s">
        <v>7</v>
      </c>
      <c r="I295" s="30">
        <v>0</v>
      </c>
      <c r="J295" s="30">
        <v>4.91</v>
      </c>
    </row>
    <row r="296" spans="1:10" x14ac:dyDescent="0.25">
      <c r="B296" s="31" t="s">
        <v>167</v>
      </c>
      <c r="C296" s="31" t="s">
        <v>400</v>
      </c>
      <c r="D296" s="31"/>
      <c r="E296" s="31" t="s">
        <v>165</v>
      </c>
      <c r="F296" s="31" t="s">
        <v>399</v>
      </c>
      <c r="G296" s="31" t="s">
        <v>119</v>
      </c>
      <c r="H296" s="31" t="s">
        <v>13</v>
      </c>
      <c r="I296" s="30">
        <v>-149.13999999999999</v>
      </c>
      <c r="J296" s="30">
        <v>-144.22999999999999</v>
      </c>
    </row>
    <row r="297" spans="1:10" x14ac:dyDescent="0.25">
      <c r="A297" s="29" t="s">
        <v>398</v>
      </c>
      <c r="I297" s="28">
        <v>-144.22999999999999</v>
      </c>
    </row>
    <row r="298" spans="1:10" x14ac:dyDescent="0.25">
      <c r="A298" s="29" t="s">
        <v>118</v>
      </c>
      <c r="I298" s="28">
        <v>3017.43</v>
      </c>
    </row>
    <row r="299" spans="1:10" x14ac:dyDescent="0.25">
      <c r="A299" s="29" t="s">
        <v>14</v>
      </c>
    </row>
    <row r="300" spans="1:10" x14ac:dyDescent="0.25">
      <c r="B300" s="31" t="s">
        <v>202</v>
      </c>
      <c r="J300" s="30">
        <v>495</v>
      </c>
    </row>
    <row r="301" spans="1:10" x14ac:dyDescent="0.25">
      <c r="B301" s="31" t="s">
        <v>223</v>
      </c>
      <c r="C301" s="31" t="s">
        <v>184</v>
      </c>
      <c r="D301" s="31"/>
      <c r="E301" s="31" t="s">
        <v>165</v>
      </c>
      <c r="F301" s="31" t="s">
        <v>397</v>
      </c>
      <c r="G301" s="31" t="s">
        <v>396</v>
      </c>
      <c r="H301" s="31" t="s">
        <v>151</v>
      </c>
      <c r="I301" s="30">
        <v>-495.02</v>
      </c>
      <c r="J301" s="30">
        <v>-0.02</v>
      </c>
    </row>
    <row r="302" spans="1:10" x14ac:dyDescent="0.25">
      <c r="B302" s="31" t="s">
        <v>167</v>
      </c>
      <c r="C302" s="31" t="s">
        <v>365</v>
      </c>
      <c r="D302" s="31">
        <v>43</v>
      </c>
      <c r="E302" s="31" t="s">
        <v>165</v>
      </c>
      <c r="F302" s="31"/>
      <c r="G302" s="31" t="s">
        <v>366</v>
      </c>
      <c r="H302" s="32" t="s">
        <v>364</v>
      </c>
      <c r="I302" s="30">
        <v>318.83</v>
      </c>
      <c r="J302" s="30">
        <v>318.81</v>
      </c>
    </row>
    <row r="303" spans="1:10" x14ac:dyDescent="0.25">
      <c r="A303" s="29" t="s">
        <v>395</v>
      </c>
      <c r="I303" s="28">
        <v>-176.19</v>
      </c>
    </row>
    <row r="304" spans="1:10" x14ac:dyDescent="0.25">
      <c r="A304" s="29" t="s">
        <v>112</v>
      </c>
    </row>
    <row r="305" spans="1:10" x14ac:dyDescent="0.25">
      <c r="B305" s="31" t="s">
        <v>202</v>
      </c>
      <c r="J305" s="30">
        <v>-2000</v>
      </c>
    </row>
    <row r="306" spans="1:10" x14ac:dyDescent="0.25">
      <c r="A306" s="29" t="s">
        <v>394</v>
      </c>
      <c r="I306" s="28"/>
    </row>
    <row r="307" spans="1:10" x14ac:dyDescent="0.25">
      <c r="A307" s="29" t="s">
        <v>19</v>
      </c>
    </row>
    <row r="308" spans="1:10" x14ac:dyDescent="0.25">
      <c r="B308" s="31" t="s">
        <v>202</v>
      </c>
      <c r="J308" s="30">
        <v>160812.25</v>
      </c>
    </row>
    <row r="309" spans="1:10" x14ac:dyDescent="0.25">
      <c r="B309" s="31" t="s">
        <v>167</v>
      </c>
      <c r="C309" s="31" t="s">
        <v>365</v>
      </c>
      <c r="D309" s="31">
        <v>44</v>
      </c>
      <c r="E309" s="31" t="s">
        <v>165</v>
      </c>
      <c r="F309" s="31"/>
      <c r="G309" s="31" t="s">
        <v>393</v>
      </c>
      <c r="H309" s="32" t="s">
        <v>364</v>
      </c>
      <c r="I309" s="30">
        <v>244.91</v>
      </c>
      <c r="J309" s="30">
        <v>161057.16</v>
      </c>
    </row>
    <row r="310" spans="1:10" x14ac:dyDescent="0.25">
      <c r="A310" s="29" t="s">
        <v>392</v>
      </c>
      <c r="I310" s="28">
        <v>244.91</v>
      </c>
    </row>
    <row r="311" spans="1:10" x14ac:dyDescent="0.25">
      <c r="A311" s="29" t="s">
        <v>20</v>
      </c>
    </row>
    <row r="312" spans="1:10" x14ac:dyDescent="0.25">
      <c r="B312" s="31" t="s">
        <v>202</v>
      </c>
      <c r="J312" s="30">
        <v>-54138.59</v>
      </c>
    </row>
    <row r="313" spans="1:10" x14ac:dyDescent="0.25">
      <c r="B313" s="31" t="s">
        <v>318</v>
      </c>
      <c r="C313" s="31" t="s">
        <v>184</v>
      </c>
      <c r="D313" s="31"/>
      <c r="E313" s="31" t="s">
        <v>165</v>
      </c>
      <c r="F313" s="31" t="s">
        <v>391</v>
      </c>
      <c r="G313" s="31" t="s">
        <v>390</v>
      </c>
      <c r="H313" s="31" t="s">
        <v>6</v>
      </c>
      <c r="I313" s="30">
        <v>-296.23</v>
      </c>
      <c r="J313" s="30">
        <v>-54434.82</v>
      </c>
    </row>
    <row r="314" spans="1:10" x14ac:dyDescent="0.25">
      <c r="B314" s="31" t="s">
        <v>263</v>
      </c>
      <c r="C314" s="31" t="s">
        <v>184</v>
      </c>
      <c r="D314" s="31"/>
      <c r="E314" s="31" t="s">
        <v>165</v>
      </c>
      <c r="F314" s="31" t="s">
        <v>164</v>
      </c>
      <c r="G314" s="31" t="s">
        <v>389</v>
      </c>
      <c r="H314" s="31" t="s">
        <v>151</v>
      </c>
      <c r="I314" s="30">
        <v>-5708.78</v>
      </c>
      <c r="J314" s="30">
        <v>-60143.6</v>
      </c>
    </row>
    <row r="315" spans="1:10" x14ac:dyDescent="0.25">
      <c r="B315" s="31" t="s">
        <v>296</v>
      </c>
      <c r="C315" s="31" t="s">
        <v>184</v>
      </c>
      <c r="D315" s="31"/>
      <c r="E315" s="31" t="s">
        <v>165</v>
      </c>
      <c r="F315" s="31" t="s">
        <v>164</v>
      </c>
      <c r="G315" s="31" t="s">
        <v>389</v>
      </c>
      <c r="H315" s="31" t="s">
        <v>151</v>
      </c>
      <c r="I315" s="30">
        <v>-2284.29</v>
      </c>
      <c r="J315" s="30">
        <v>-62427.89</v>
      </c>
    </row>
    <row r="316" spans="1:10" x14ac:dyDescent="0.25">
      <c r="A316" s="29" t="s">
        <v>388</v>
      </c>
      <c r="I316" s="28">
        <v>-8289.2999999999993</v>
      </c>
    </row>
    <row r="317" spans="1:10" x14ac:dyDescent="0.25">
      <c r="A317" s="29" t="s">
        <v>21</v>
      </c>
    </row>
    <row r="318" spans="1:10" x14ac:dyDescent="0.25">
      <c r="B318" s="31" t="s">
        <v>202</v>
      </c>
      <c r="J318" s="30">
        <v>-720.24</v>
      </c>
    </row>
    <row r="319" spans="1:10" x14ac:dyDescent="0.25">
      <c r="B319" s="31" t="s">
        <v>305</v>
      </c>
      <c r="C319" s="31" t="s">
        <v>184</v>
      </c>
      <c r="D319" s="31"/>
      <c r="E319" s="31" t="s">
        <v>165</v>
      </c>
      <c r="F319" s="31" t="s">
        <v>387</v>
      </c>
      <c r="G319" s="31" t="s">
        <v>386</v>
      </c>
      <c r="H319" s="31" t="s">
        <v>6</v>
      </c>
      <c r="I319" s="30">
        <v>-124.04</v>
      </c>
      <c r="J319" s="30">
        <v>-844.28</v>
      </c>
    </row>
    <row r="320" spans="1:10" x14ac:dyDescent="0.25">
      <c r="A320" s="29" t="s">
        <v>385</v>
      </c>
      <c r="I320" s="28">
        <v>-124.04</v>
      </c>
    </row>
    <row r="321" spans="1:10" x14ac:dyDescent="0.25">
      <c r="A321" s="29" t="s">
        <v>111</v>
      </c>
    </row>
    <row r="322" spans="1:10" x14ac:dyDescent="0.25">
      <c r="B322" s="31" t="s">
        <v>202</v>
      </c>
      <c r="J322" s="30">
        <v>-13078.65</v>
      </c>
    </row>
    <row r="323" spans="1:10" x14ac:dyDescent="0.25">
      <c r="A323" s="29" t="s">
        <v>384</v>
      </c>
      <c r="I323" s="28"/>
    </row>
    <row r="324" spans="1:10" x14ac:dyDescent="0.25">
      <c r="A324" s="29" t="s">
        <v>94</v>
      </c>
    </row>
    <row r="325" spans="1:10" x14ac:dyDescent="0.25">
      <c r="B325" s="31" t="s">
        <v>202</v>
      </c>
      <c r="J325" s="30">
        <v>13002.46</v>
      </c>
    </row>
    <row r="326" spans="1:10" x14ac:dyDescent="0.25">
      <c r="B326" s="31" t="s">
        <v>328</v>
      </c>
      <c r="C326" s="31" t="s">
        <v>166</v>
      </c>
      <c r="D326" s="31"/>
      <c r="E326" s="31" t="s">
        <v>165</v>
      </c>
      <c r="F326" s="31" t="s">
        <v>381</v>
      </c>
      <c r="G326" s="31" t="s">
        <v>380</v>
      </c>
      <c r="H326" s="31" t="s">
        <v>151</v>
      </c>
      <c r="I326" s="30">
        <v>150</v>
      </c>
      <c r="J326" s="30">
        <v>13152.46</v>
      </c>
    </row>
    <row r="327" spans="1:10" x14ac:dyDescent="0.25">
      <c r="B327" s="31" t="s">
        <v>328</v>
      </c>
      <c r="C327" s="31" t="s">
        <v>166</v>
      </c>
      <c r="D327" s="31"/>
      <c r="E327" s="31" t="s">
        <v>165</v>
      </c>
      <c r="F327" s="31" t="s">
        <v>379</v>
      </c>
      <c r="G327" s="31" t="s">
        <v>378</v>
      </c>
      <c r="H327" s="31" t="s">
        <v>151</v>
      </c>
      <c r="I327" s="30">
        <v>80</v>
      </c>
      <c r="J327" s="30">
        <v>13232.46</v>
      </c>
    </row>
    <row r="328" spans="1:10" x14ac:dyDescent="0.25">
      <c r="B328" s="31" t="s">
        <v>284</v>
      </c>
      <c r="C328" s="31" t="s">
        <v>166</v>
      </c>
      <c r="D328" s="31"/>
      <c r="E328" s="31" t="s">
        <v>165</v>
      </c>
      <c r="F328" s="31" t="s">
        <v>383</v>
      </c>
      <c r="G328" s="31" t="s">
        <v>382</v>
      </c>
      <c r="H328" s="31" t="s">
        <v>151</v>
      </c>
      <c r="I328" s="30">
        <v>20</v>
      </c>
      <c r="J328" s="30">
        <v>13252.46</v>
      </c>
    </row>
    <row r="329" spans="1:10" x14ac:dyDescent="0.25">
      <c r="B329" s="31" t="s">
        <v>284</v>
      </c>
      <c r="C329" s="31" t="s">
        <v>166</v>
      </c>
      <c r="D329" s="31"/>
      <c r="E329" s="31" t="s">
        <v>165</v>
      </c>
      <c r="F329" s="31" t="s">
        <v>383</v>
      </c>
      <c r="G329" s="31" t="s">
        <v>382</v>
      </c>
      <c r="H329" s="31" t="s">
        <v>151</v>
      </c>
      <c r="I329" s="30">
        <v>40</v>
      </c>
      <c r="J329" s="30">
        <v>13292.46</v>
      </c>
    </row>
    <row r="330" spans="1:10" x14ac:dyDescent="0.25">
      <c r="B330" s="31" t="s">
        <v>223</v>
      </c>
      <c r="C330" s="31" t="s">
        <v>166</v>
      </c>
      <c r="D330" s="31"/>
      <c r="E330" s="31" t="s">
        <v>165</v>
      </c>
      <c r="F330" s="31" t="s">
        <v>379</v>
      </c>
      <c r="G330" s="31" t="s">
        <v>378</v>
      </c>
      <c r="H330" s="31" t="s">
        <v>151</v>
      </c>
      <c r="I330" s="30">
        <v>550</v>
      </c>
      <c r="J330" s="30">
        <v>13842.46</v>
      </c>
    </row>
    <row r="331" spans="1:10" x14ac:dyDescent="0.25">
      <c r="B331" s="31" t="s">
        <v>301</v>
      </c>
      <c r="C331" s="31" t="s">
        <v>166</v>
      </c>
      <c r="D331" s="31"/>
      <c r="E331" s="31" t="s">
        <v>165</v>
      </c>
      <c r="F331" s="31" t="s">
        <v>381</v>
      </c>
      <c r="G331" s="31" t="s">
        <v>380</v>
      </c>
      <c r="H331" s="31" t="s">
        <v>151</v>
      </c>
      <c r="I331" s="30">
        <v>220</v>
      </c>
      <c r="J331" s="30">
        <v>14062.46</v>
      </c>
    </row>
    <row r="332" spans="1:10" x14ac:dyDescent="0.25">
      <c r="B332" s="31" t="s">
        <v>301</v>
      </c>
      <c r="C332" s="31" t="s">
        <v>166</v>
      </c>
      <c r="D332" s="31"/>
      <c r="E332" s="31" t="s">
        <v>165</v>
      </c>
      <c r="F332" s="31" t="s">
        <v>379</v>
      </c>
      <c r="G332" s="31" t="s">
        <v>378</v>
      </c>
      <c r="H332" s="31" t="s">
        <v>151</v>
      </c>
      <c r="I332" s="30">
        <v>410</v>
      </c>
      <c r="J332" s="30">
        <v>14472.46</v>
      </c>
    </row>
    <row r="333" spans="1:10" x14ac:dyDescent="0.25">
      <c r="B333" s="31" t="s">
        <v>173</v>
      </c>
      <c r="C333" s="31" t="s">
        <v>166</v>
      </c>
      <c r="D333" s="31"/>
      <c r="E333" s="31" t="s">
        <v>165</v>
      </c>
      <c r="F333" s="31" t="s">
        <v>379</v>
      </c>
      <c r="G333" s="31" t="s">
        <v>378</v>
      </c>
      <c r="H333" s="31" t="s">
        <v>151</v>
      </c>
      <c r="I333" s="30">
        <v>80</v>
      </c>
      <c r="J333" s="30">
        <v>14552.46</v>
      </c>
    </row>
    <row r="334" spans="1:10" x14ac:dyDescent="0.25">
      <c r="B334" s="31" t="s">
        <v>167</v>
      </c>
      <c r="C334" s="31" t="s">
        <v>166</v>
      </c>
      <c r="D334" s="31"/>
      <c r="E334" s="31" t="s">
        <v>165</v>
      </c>
      <c r="F334" s="31" t="s">
        <v>379</v>
      </c>
      <c r="G334" s="31" t="s">
        <v>378</v>
      </c>
      <c r="H334" s="31" t="s">
        <v>151</v>
      </c>
      <c r="I334" s="30">
        <v>110</v>
      </c>
      <c r="J334" s="30">
        <v>14662.46</v>
      </c>
    </row>
    <row r="335" spans="1:10" x14ac:dyDescent="0.25">
      <c r="A335" s="29" t="s">
        <v>377</v>
      </c>
      <c r="I335" s="28">
        <v>1660</v>
      </c>
    </row>
    <row r="336" spans="1:10" x14ac:dyDescent="0.25">
      <c r="A336" s="29" t="s">
        <v>93</v>
      </c>
    </row>
    <row r="337" spans="1:10" x14ac:dyDescent="0.25">
      <c r="B337" s="31" t="s">
        <v>202</v>
      </c>
      <c r="J337" s="30">
        <v>33750.050000000003</v>
      </c>
    </row>
    <row r="338" spans="1:10" x14ac:dyDescent="0.25">
      <c r="B338" s="31" t="s">
        <v>167</v>
      </c>
      <c r="C338" s="31" t="s">
        <v>365</v>
      </c>
      <c r="D338" s="31">
        <v>43</v>
      </c>
      <c r="E338" s="31" t="s">
        <v>165</v>
      </c>
      <c r="F338" s="31"/>
      <c r="G338" s="31"/>
      <c r="H338" s="32" t="s">
        <v>364</v>
      </c>
      <c r="I338" s="30">
        <v>3692.5</v>
      </c>
      <c r="J338" s="30">
        <v>37442.550000000003</v>
      </c>
    </row>
    <row r="339" spans="1:10" x14ac:dyDescent="0.25">
      <c r="A339" s="29" t="s">
        <v>376</v>
      </c>
      <c r="I339" s="28">
        <v>3692.5</v>
      </c>
    </row>
    <row r="340" spans="1:10" x14ac:dyDescent="0.25">
      <c r="A340" s="29" t="s">
        <v>92</v>
      </c>
    </row>
    <row r="341" spans="1:10" x14ac:dyDescent="0.25">
      <c r="B341" s="31" t="s">
        <v>202</v>
      </c>
      <c r="J341" s="30">
        <v>653410.27</v>
      </c>
    </row>
    <row r="342" spans="1:10" x14ac:dyDescent="0.25">
      <c r="B342" s="31" t="s">
        <v>318</v>
      </c>
      <c r="C342" s="31" t="s">
        <v>166</v>
      </c>
      <c r="D342" s="31"/>
      <c r="E342" s="31" t="s">
        <v>165</v>
      </c>
      <c r="F342" s="31"/>
      <c r="G342" s="31" t="s">
        <v>368</v>
      </c>
      <c r="H342" s="31" t="s">
        <v>151</v>
      </c>
      <c r="I342" s="30">
        <v>1886.27</v>
      </c>
      <c r="J342" s="30">
        <v>655296.54</v>
      </c>
    </row>
    <row r="343" spans="1:10" x14ac:dyDescent="0.25">
      <c r="B343" s="31" t="s">
        <v>318</v>
      </c>
      <c r="C343" s="31" t="s">
        <v>166</v>
      </c>
      <c r="D343" s="31"/>
      <c r="E343" s="31" t="s">
        <v>165</v>
      </c>
      <c r="F343" s="31"/>
      <c r="G343" s="31" t="s">
        <v>370</v>
      </c>
      <c r="H343" s="31" t="s">
        <v>151</v>
      </c>
      <c r="I343" s="30">
        <v>379.37</v>
      </c>
      <c r="J343" s="30">
        <v>655675.91</v>
      </c>
    </row>
    <row r="344" spans="1:10" x14ac:dyDescent="0.25">
      <c r="B344" s="31" t="s">
        <v>318</v>
      </c>
      <c r="C344" s="31" t="s">
        <v>166</v>
      </c>
      <c r="D344" s="31"/>
      <c r="E344" s="31" t="s">
        <v>165</v>
      </c>
      <c r="F344" s="31"/>
      <c r="G344" s="31" t="s">
        <v>369</v>
      </c>
      <c r="H344" s="31" t="s">
        <v>151</v>
      </c>
      <c r="I344" s="30">
        <v>2896.62</v>
      </c>
      <c r="J344" s="30">
        <v>658572.53</v>
      </c>
    </row>
    <row r="345" spans="1:10" x14ac:dyDescent="0.25">
      <c r="B345" s="31" t="s">
        <v>194</v>
      </c>
      <c r="C345" s="31" t="s">
        <v>166</v>
      </c>
      <c r="D345" s="31"/>
      <c r="E345" s="31" t="s">
        <v>165</v>
      </c>
      <c r="F345" s="31"/>
      <c r="G345" s="31" t="s">
        <v>371</v>
      </c>
      <c r="H345" s="31" t="s">
        <v>151</v>
      </c>
      <c r="I345" s="30">
        <v>554.58000000000004</v>
      </c>
      <c r="J345" s="30">
        <v>659127.11</v>
      </c>
    </row>
    <row r="346" spans="1:10" x14ac:dyDescent="0.25">
      <c r="B346" s="31" t="s">
        <v>194</v>
      </c>
      <c r="C346" s="31" t="s">
        <v>166</v>
      </c>
      <c r="D346" s="31"/>
      <c r="E346" s="31" t="s">
        <v>165</v>
      </c>
      <c r="F346" s="31"/>
      <c r="G346" s="31" t="s">
        <v>368</v>
      </c>
      <c r="H346" s="31" t="s">
        <v>151</v>
      </c>
      <c r="I346" s="30">
        <v>2780.98</v>
      </c>
      <c r="J346" s="30">
        <v>661908.09</v>
      </c>
    </row>
    <row r="347" spans="1:10" x14ac:dyDescent="0.25">
      <c r="B347" s="31" t="s">
        <v>194</v>
      </c>
      <c r="C347" s="31" t="s">
        <v>166</v>
      </c>
      <c r="D347" s="31"/>
      <c r="E347" s="31" t="s">
        <v>165</v>
      </c>
      <c r="F347" s="31"/>
      <c r="G347" s="31" t="s">
        <v>369</v>
      </c>
      <c r="H347" s="31" t="s">
        <v>151</v>
      </c>
      <c r="I347" s="30">
        <v>584.4</v>
      </c>
      <c r="J347" s="30">
        <v>662492.49</v>
      </c>
    </row>
    <row r="348" spans="1:10" x14ac:dyDescent="0.25">
      <c r="B348" s="31" t="s">
        <v>328</v>
      </c>
      <c r="C348" s="31" t="s">
        <v>166</v>
      </c>
      <c r="D348" s="31"/>
      <c r="E348" s="31" t="s">
        <v>165</v>
      </c>
      <c r="F348" s="31"/>
      <c r="G348" s="31" t="s">
        <v>368</v>
      </c>
      <c r="H348" s="31" t="s">
        <v>151</v>
      </c>
      <c r="I348" s="30">
        <v>96.35</v>
      </c>
      <c r="J348" s="30">
        <v>662588.84</v>
      </c>
    </row>
    <row r="349" spans="1:10" x14ac:dyDescent="0.25">
      <c r="B349" s="31" t="s">
        <v>263</v>
      </c>
      <c r="C349" s="31" t="s">
        <v>166</v>
      </c>
      <c r="D349" s="31"/>
      <c r="E349" s="31" t="s">
        <v>165</v>
      </c>
      <c r="F349" s="31"/>
      <c r="G349" s="31" t="s">
        <v>368</v>
      </c>
      <c r="H349" s="31" t="s">
        <v>151</v>
      </c>
      <c r="I349" s="30">
        <v>770.8</v>
      </c>
      <c r="J349" s="30">
        <v>663359.64</v>
      </c>
    </row>
    <row r="350" spans="1:10" x14ac:dyDescent="0.25">
      <c r="B350" s="31" t="s">
        <v>263</v>
      </c>
      <c r="C350" s="31" t="s">
        <v>166</v>
      </c>
      <c r="D350" s="31"/>
      <c r="E350" s="31" t="s">
        <v>165</v>
      </c>
      <c r="F350" s="31"/>
      <c r="G350" s="31" t="s">
        <v>367</v>
      </c>
      <c r="H350" s="31" t="s">
        <v>151</v>
      </c>
      <c r="I350" s="30">
        <v>1164.1300000000001</v>
      </c>
      <c r="J350" s="30">
        <v>664523.77</v>
      </c>
    </row>
    <row r="351" spans="1:10" x14ac:dyDescent="0.25">
      <c r="B351" s="31" t="s">
        <v>263</v>
      </c>
      <c r="C351" s="31" t="s">
        <v>166</v>
      </c>
      <c r="D351" s="31"/>
      <c r="E351" s="31" t="s">
        <v>165</v>
      </c>
      <c r="F351" s="31"/>
      <c r="G351" s="31" t="s">
        <v>367</v>
      </c>
      <c r="H351" s="31" t="s">
        <v>151</v>
      </c>
      <c r="I351" s="30">
        <v>700.47</v>
      </c>
      <c r="J351" s="30">
        <v>665224.24</v>
      </c>
    </row>
    <row r="352" spans="1:10" x14ac:dyDescent="0.25">
      <c r="B352" s="31" t="s">
        <v>263</v>
      </c>
      <c r="C352" s="31" t="s">
        <v>166</v>
      </c>
      <c r="D352" s="31"/>
      <c r="E352" s="31" t="s">
        <v>165</v>
      </c>
      <c r="F352" s="31"/>
      <c r="G352" s="31" t="s">
        <v>367</v>
      </c>
      <c r="H352" s="31" t="s">
        <v>151</v>
      </c>
      <c r="I352" s="30">
        <v>5841.06</v>
      </c>
      <c r="J352" s="30">
        <v>671065.30000000005</v>
      </c>
    </row>
    <row r="353" spans="2:10" x14ac:dyDescent="0.25">
      <c r="B353" s="31" t="s">
        <v>263</v>
      </c>
      <c r="C353" s="31" t="s">
        <v>166</v>
      </c>
      <c r="D353" s="31"/>
      <c r="E353" s="31" t="s">
        <v>165</v>
      </c>
      <c r="F353" s="31"/>
      <c r="G353" s="31" t="s">
        <v>370</v>
      </c>
      <c r="H353" s="31" t="s">
        <v>151</v>
      </c>
      <c r="I353" s="30">
        <v>872.19</v>
      </c>
      <c r="J353" s="30">
        <v>671937.49</v>
      </c>
    </row>
    <row r="354" spans="2:10" x14ac:dyDescent="0.25">
      <c r="B354" s="31" t="s">
        <v>375</v>
      </c>
      <c r="C354" s="31" t="s">
        <v>166</v>
      </c>
      <c r="D354" s="31"/>
      <c r="E354" s="31" t="s">
        <v>165</v>
      </c>
      <c r="F354" s="31"/>
      <c r="G354" s="31" t="s">
        <v>372</v>
      </c>
      <c r="H354" s="31" t="s">
        <v>151</v>
      </c>
      <c r="I354" s="30">
        <v>1105.17</v>
      </c>
      <c r="J354" s="30">
        <v>673042.66</v>
      </c>
    </row>
    <row r="355" spans="2:10" x14ac:dyDescent="0.25">
      <c r="B355" s="31" t="s">
        <v>375</v>
      </c>
      <c r="C355" s="31" t="s">
        <v>166</v>
      </c>
      <c r="D355" s="31"/>
      <c r="E355" s="31" t="s">
        <v>165</v>
      </c>
      <c r="F355" s="31"/>
      <c r="G355" s="31" t="s">
        <v>368</v>
      </c>
      <c r="H355" s="31" t="s">
        <v>151</v>
      </c>
      <c r="I355" s="30">
        <v>78.099999999999994</v>
      </c>
      <c r="J355" s="30">
        <v>673120.76</v>
      </c>
    </row>
    <row r="356" spans="2:10" x14ac:dyDescent="0.25">
      <c r="B356" s="31" t="s">
        <v>284</v>
      </c>
      <c r="C356" s="31" t="s">
        <v>166</v>
      </c>
      <c r="D356" s="31"/>
      <c r="E356" s="31" t="s">
        <v>165</v>
      </c>
      <c r="F356" s="31"/>
      <c r="G356" s="31" t="s">
        <v>368</v>
      </c>
      <c r="H356" s="31" t="s">
        <v>151</v>
      </c>
      <c r="I356" s="30">
        <v>337.16</v>
      </c>
      <c r="J356" s="30">
        <v>673457.92</v>
      </c>
    </row>
    <row r="357" spans="2:10" x14ac:dyDescent="0.25">
      <c r="B357" s="31" t="s">
        <v>284</v>
      </c>
      <c r="C357" s="31" t="s">
        <v>166</v>
      </c>
      <c r="D357" s="31"/>
      <c r="E357" s="31" t="s">
        <v>165</v>
      </c>
      <c r="F357" s="31"/>
      <c r="G357" s="31" t="s">
        <v>374</v>
      </c>
      <c r="H357" s="31" t="s">
        <v>151</v>
      </c>
      <c r="I357" s="30">
        <v>375</v>
      </c>
      <c r="J357" s="30">
        <v>673832.92</v>
      </c>
    </row>
    <row r="358" spans="2:10" x14ac:dyDescent="0.25">
      <c r="B358" s="31" t="s">
        <v>284</v>
      </c>
      <c r="C358" s="31" t="s">
        <v>166</v>
      </c>
      <c r="D358" s="31"/>
      <c r="E358" s="31" t="s">
        <v>165</v>
      </c>
      <c r="F358" s="31"/>
      <c r="G358" s="31" t="s">
        <v>367</v>
      </c>
      <c r="H358" s="31" t="s">
        <v>151</v>
      </c>
      <c r="I358" s="30">
        <v>812.55</v>
      </c>
      <c r="J358" s="30">
        <v>674645.47</v>
      </c>
    </row>
    <row r="359" spans="2:10" x14ac:dyDescent="0.25">
      <c r="B359" s="31" t="s">
        <v>185</v>
      </c>
      <c r="C359" s="31" t="s">
        <v>166</v>
      </c>
      <c r="D359" s="31"/>
      <c r="E359" s="31" t="s">
        <v>165</v>
      </c>
      <c r="F359" s="31"/>
      <c r="G359" s="31" t="s">
        <v>367</v>
      </c>
      <c r="H359" s="31" t="s">
        <v>151</v>
      </c>
      <c r="I359" s="30">
        <v>2661.87</v>
      </c>
      <c r="J359" s="30">
        <v>677307.34</v>
      </c>
    </row>
    <row r="360" spans="2:10" x14ac:dyDescent="0.25">
      <c r="B360" s="31" t="s">
        <v>185</v>
      </c>
      <c r="C360" s="31" t="s">
        <v>166</v>
      </c>
      <c r="D360" s="31"/>
      <c r="E360" s="31" t="s">
        <v>165</v>
      </c>
      <c r="F360" s="31"/>
      <c r="G360" s="31" t="s">
        <v>371</v>
      </c>
      <c r="H360" s="31" t="s">
        <v>151</v>
      </c>
      <c r="I360" s="30">
        <v>164.68</v>
      </c>
      <c r="J360" s="30">
        <v>677472.02</v>
      </c>
    </row>
    <row r="361" spans="2:10" x14ac:dyDescent="0.25">
      <c r="B361" s="31" t="s">
        <v>223</v>
      </c>
      <c r="C361" s="31" t="s">
        <v>166</v>
      </c>
      <c r="D361" s="31"/>
      <c r="E361" s="31" t="s">
        <v>165</v>
      </c>
      <c r="F361" s="31"/>
      <c r="G361" s="31" t="s">
        <v>367</v>
      </c>
      <c r="H361" s="31" t="s">
        <v>151</v>
      </c>
      <c r="I361" s="30">
        <v>3852.19</v>
      </c>
      <c r="J361" s="30">
        <v>681324.21</v>
      </c>
    </row>
    <row r="362" spans="2:10" x14ac:dyDescent="0.25">
      <c r="B362" s="31" t="s">
        <v>242</v>
      </c>
      <c r="C362" s="31" t="s">
        <v>166</v>
      </c>
      <c r="D362" s="31"/>
      <c r="E362" s="31" t="s">
        <v>165</v>
      </c>
      <c r="F362" s="31"/>
      <c r="G362" s="31" t="s">
        <v>369</v>
      </c>
      <c r="H362" s="31" t="s">
        <v>151</v>
      </c>
      <c r="I362" s="30">
        <v>315.35000000000002</v>
      </c>
      <c r="J362" s="30">
        <v>681639.56</v>
      </c>
    </row>
    <row r="363" spans="2:10" x14ac:dyDescent="0.25">
      <c r="B363" s="31" t="s">
        <v>242</v>
      </c>
      <c r="C363" s="31" t="s">
        <v>166</v>
      </c>
      <c r="D363" s="31"/>
      <c r="E363" s="31" t="s">
        <v>165</v>
      </c>
      <c r="F363" s="31"/>
      <c r="G363" s="31" t="s">
        <v>367</v>
      </c>
      <c r="H363" s="31" t="s">
        <v>151</v>
      </c>
      <c r="I363" s="30">
        <v>1059.25</v>
      </c>
      <c r="J363" s="30">
        <v>682698.81</v>
      </c>
    </row>
    <row r="364" spans="2:10" x14ac:dyDescent="0.25">
      <c r="B364" s="31" t="s">
        <v>242</v>
      </c>
      <c r="C364" s="31" t="s">
        <v>166</v>
      </c>
      <c r="D364" s="31"/>
      <c r="E364" s="31" t="s">
        <v>165</v>
      </c>
      <c r="F364" s="31"/>
      <c r="G364" s="31" t="s">
        <v>367</v>
      </c>
      <c r="H364" s="31" t="s">
        <v>151</v>
      </c>
      <c r="I364" s="30">
        <v>4170</v>
      </c>
      <c r="J364" s="30">
        <v>686868.81</v>
      </c>
    </row>
    <row r="365" spans="2:10" x14ac:dyDescent="0.25">
      <c r="B365" s="31" t="s">
        <v>242</v>
      </c>
      <c r="C365" s="31" t="s">
        <v>166</v>
      </c>
      <c r="D365" s="31"/>
      <c r="E365" s="31" t="s">
        <v>165</v>
      </c>
      <c r="F365" s="31"/>
      <c r="G365" s="31" t="s">
        <v>367</v>
      </c>
      <c r="H365" s="31" t="s">
        <v>151</v>
      </c>
      <c r="I365" s="30">
        <v>1466.58</v>
      </c>
      <c r="J365" s="30">
        <v>688335.39</v>
      </c>
    </row>
    <row r="366" spans="2:10" x14ac:dyDescent="0.25">
      <c r="B366" s="31" t="s">
        <v>242</v>
      </c>
      <c r="C366" s="31" t="s">
        <v>166</v>
      </c>
      <c r="D366" s="31"/>
      <c r="E366" s="31" t="s">
        <v>165</v>
      </c>
      <c r="F366" s="31"/>
      <c r="G366" s="31" t="s">
        <v>367</v>
      </c>
      <c r="H366" s="31" t="s">
        <v>151</v>
      </c>
      <c r="I366" s="30">
        <v>1341.52</v>
      </c>
      <c r="J366" s="30">
        <v>689676.91</v>
      </c>
    </row>
    <row r="367" spans="2:10" x14ac:dyDescent="0.25">
      <c r="B367" s="31" t="s">
        <v>242</v>
      </c>
      <c r="C367" s="31" t="s">
        <v>166</v>
      </c>
      <c r="D367" s="31"/>
      <c r="E367" s="31" t="s">
        <v>165</v>
      </c>
      <c r="F367" s="31"/>
      <c r="G367" s="31" t="s">
        <v>368</v>
      </c>
      <c r="H367" s="31" t="s">
        <v>151</v>
      </c>
      <c r="I367" s="30">
        <v>385.4</v>
      </c>
      <c r="J367" s="30">
        <v>690062.31</v>
      </c>
    </row>
    <row r="368" spans="2:10" x14ac:dyDescent="0.25">
      <c r="B368" s="31" t="s">
        <v>242</v>
      </c>
      <c r="C368" s="31" t="s">
        <v>166</v>
      </c>
      <c r="D368" s="31"/>
      <c r="E368" s="31" t="s">
        <v>165</v>
      </c>
      <c r="F368" s="31"/>
      <c r="G368" s="31" t="s">
        <v>368</v>
      </c>
      <c r="H368" s="31" t="s">
        <v>151</v>
      </c>
      <c r="I368" s="30">
        <v>96.35</v>
      </c>
      <c r="J368" s="30">
        <v>690158.66</v>
      </c>
    </row>
    <row r="369" spans="2:10" x14ac:dyDescent="0.25">
      <c r="B369" s="31" t="s">
        <v>242</v>
      </c>
      <c r="C369" s="31" t="s">
        <v>166</v>
      </c>
      <c r="D369" s="31"/>
      <c r="E369" s="31" t="s">
        <v>165</v>
      </c>
      <c r="F369" s="31"/>
      <c r="G369" s="31" t="s">
        <v>370</v>
      </c>
      <c r="H369" s="31" t="s">
        <v>151</v>
      </c>
      <c r="I369" s="30">
        <v>486.14</v>
      </c>
      <c r="J369" s="30">
        <v>690644.8</v>
      </c>
    </row>
    <row r="370" spans="2:10" x14ac:dyDescent="0.25">
      <c r="B370" s="31" t="s">
        <v>267</v>
      </c>
      <c r="C370" s="31" t="s">
        <v>166</v>
      </c>
      <c r="D370" s="31"/>
      <c r="E370" s="31" t="s">
        <v>165</v>
      </c>
      <c r="F370" s="31"/>
      <c r="G370" s="31" t="s">
        <v>373</v>
      </c>
      <c r="H370" s="31" t="s">
        <v>151</v>
      </c>
      <c r="I370" s="30">
        <v>901</v>
      </c>
      <c r="J370" s="30">
        <v>691545.8</v>
      </c>
    </row>
    <row r="371" spans="2:10" x14ac:dyDescent="0.25">
      <c r="B371" s="31" t="s">
        <v>267</v>
      </c>
      <c r="C371" s="31" t="s">
        <v>166</v>
      </c>
      <c r="D371" s="31"/>
      <c r="E371" s="31" t="s">
        <v>165</v>
      </c>
      <c r="F371" s="31"/>
      <c r="G371" s="31" t="s">
        <v>367</v>
      </c>
      <c r="H371" s="31" t="s">
        <v>151</v>
      </c>
      <c r="I371" s="30">
        <v>1945.96</v>
      </c>
      <c r="J371" s="30">
        <v>693491.76</v>
      </c>
    </row>
    <row r="372" spans="2:10" x14ac:dyDescent="0.25">
      <c r="B372" s="31" t="s">
        <v>241</v>
      </c>
      <c r="C372" s="31" t="s">
        <v>166</v>
      </c>
      <c r="D372" s="31"/>
      <c r="E372" s="31" t="s">
        <v>165</v>
      </c>
      <c r="F372" s="31"/>
      <c r="G372" s="31" t="s">
        <v>367</v>
      </c>
      <c r="H372" s="31" t="s">
        <v>151</v>
      </c>
      <c r="I372" s="30">
        <v>4742.0200000000004</v>
      </c>
      <c r="J372" s="30">
        <v>698233.78</v>
      </c>
    </row>
    <row r="373" spans="2:10" x14ac:dyDescent="0.25">
      <c r="B373" s="31" t="s">
        <v>241</v>
      </c>
      <c r="C373" s="31" t="s">
        <v>166</v>
      </c>
      <c r="D373" s="31"/>
      <c r="E373" s="31" t="s">
        <v>165</v>
      </c>
      <c r="F373" s="31"/>
      <c r="G373" s="31" t="s">
        <v>368</v>
      </c>
      <c r="H373" s="31" t="s">
        <v>151</v>
      </c>
      <c r="I373" s="30">
        <v>72.23</v>
      </c>
      <c r="J373" s="30">
        <v>698306.01</v>
      </c>
    </row>
    <row r="374" spans="2:10" x14ac:dyDescent="0.25">
      <c r="B374" s="31" t="s">
        <v>241</v>
      </c>
      <c r="C374" s="31" t="s">
        <v>166</v>
      </c>
      <c r="D374" s="31"/>
      <c r="E374" s="31" t="s">
        <v>165</v>
      </c>
      <c r="F374" s="31"/>
      <c r="G374" s="31" t="s">
        <v>371</v>
      </c>
      <c r="H374" s="31" t="s">
        <v>151</v>
      </c>
      <c r="I374" s="30">
        <v>296.63</v>
      </c>
      <c r="J374" s="30">
        <v>698602.64</v>
      </c>
    </row>
    <row r="375" spans="2:10" x14ac:dyDescent="0.25">
      <c r="B375" s="31" t="s">
        <v>301</v>
      </c>
      <c r="C375" s="31" t="s">
        <v>166</v>
      </c>
      <c r="D375" s="31"/>
      <c r="E375" s="31" t="s">
        <v>165</v>
      </c>
      <c r="F375" s="31"/>
      <c r="G375" s="31" t="s">
        <v>369</v>
      </c>
      <c r="H375" s="31" t="s">
        <v>151</v>
      </c>
      <c r="I375" s="30">
        <v>973</v>
      </c>
      <c r="J375" s="30">
        <v>699575.64</v>
      </c>
    </row>
    <row r="376" spans="2:10" x14ac:dyDescent="0.25">
      <c r="B376" s="31" t="s">
        <v>301</v>
      </c>
      <c r="C376" s="31" t="s">
        <v>166</v>
      </c>
      <c r="D376" s="31"/>
      <c r="E376" s="31" t="s">
        <v>165</v>
      </c>
      <c r="F376" s="31"/>
      <c r="G376" s="31" t="s">
        <v>367</v>
      </c>
      <c r="H376" s="31" t="s">
        <v>151</v>
      </c>
      <c r="I376" s="30">
        <v>7713.16</v>
      </c>
      <c r="J376" s="30">
        <v>707288.8</v>
      </c>
    </row>
    <row r="377" spans="2:10" x14ac:dyDescent="0.25">
      <c r="B377" s="31" t="s">
        <v>272</v>
      </c>
      <c r="C377" s="31" t="s">
        <v>166</v>
      </c>
      <c r="D377" s="31"/>
      <c r="E377" s="31" t="s">
        <v>165</v>
      </c>
      <c r="F377" s="31"/>
      <c r="G377" s="31" t="s">
        <v>367</v>
      </c>
      <c r="H377" s="31" t="s">
        <v>151</v>
      </c>
      <c r="I377" s="30">
        <v>2802.36</v>
      </c>
      <c r="J377" s="30">
        <v>710091.16</v>
      </c>
    </row>
    <row r="378" spans="2:10" x14ac:dyDescent="0.25">
      <c r="B378" s="31" t="s">
        <v>272</v>
      </c>
      <c r="C378" s="31" t="s">
        <v>166</v>
      </c>
      <c r="D378" s="31"/>
      <c r="E378" s="31" t="s">
        <v>165</v>
      </c>
      <c r="F378" s="31"/>
      <c r="G378" s="31" t="s">
        <v>372</v>
      </c>
      <c r="H378" s="31" t="s">
        <v>151</v>
      </c>
      <c r="I378" s="30">
        <v>1610.48</v>
      </c>
      <c r="J378" s="30">
        <v>711701.64</v>
      </c>
    </row>
    <row r="379" spans="2:10" x14ac:dyDescent="0.25">
      <c r="B379" s="31" t="s">
        <v>272</v>
      </c>
      <c r="C379" s="31" t="s">
        <v>166</v>
      </c>
      <c r="D379" s="31"/>
      <c r="E379" s="31" t="s">
        <v>165</v>
      </c>
      <c r="F379" s="31"/>
      <c r="G379" s="31" t="s">
        <v>367</v>
      </c>
      <c r="H379" s="31" t="s">
        <v>151</v>
      </c>
      <c r="I379" s="30">
        <v>1518.54</v>
      </c>
      <c r="J379" s="30">
        <v>713220.18</v>
      </c>
    </row>
    <row r="380" spans="2:10" x14ac:dyDescent="0.25">
      <c r="B380" s="31" t="s">
        <v>272</v>
      </c>
      <c r="C380" s="31" t="s">
        <v>166</v>
      </c>
      <c r="D380" s="31"/>
      <c r="E380" s="31" t="s">
        <v>165</v>
      </c>
      <c r="F380" s="31"/>
      <c r="G380" s="31" t="s">
        <v>367</v>
      </c>
      <c r="H380" s="31" t="s">
        <v>151</v>
      </c>
      <c r="I380" s="30">
        <v>2123.52</v>
      </c>
      <c r="J380" s="30">
        <v>715343.7</v>
      </c>
    </row>
    <row r="381" spans="2:10" x14ac:dyDescent="0.25">
      <c r="B381" s="31" t="s">
        <v>201</v>
      </c>
      <c r="C381" s="31" t="s">
        <v>166</v>
      </c>
      <c r="D381" s="31"/>
      <c r="E381" s="31" t="s">
        <v>165</v>
      </c>
      <c r="F381" s="31"/>
      <c r="G381" s="31" t="s">
        <v>368</v>
      </c>
      <c r="H381" s="31" t="s">
        <v>151</v>
      </c>
      <c r="I381" s="30">
        <v>2137.33</v>
      </c>
      <c r="J381" s="30">
        <v>717481.03</v>
      </c>
    </row>
    <row r="382" spans="2:10" x14ac:dyDescent="0.25">
      <c r="B382" s="31" t="s">
        <v>178</v>
      </c>
      <c r="C382" s="31" t="s">
        <v>166</v>
      </c>
      <c r="D382" s="31"/>
      <c r="E382" s="31" t="s">
        <v>165</v>
      </c>
      <c r="F382" s="31"/>
      <c r="G382" s="31" t="s">
        <v>370</v>
      </c>
      <c r="H382" s="31" t="s">
        <v>151</v>
      </c>
      <c r="I382" s="30">
        <v>176.58</v>
      </c>
      <c r="J382" s="30">
        <v>717657.61</v>
      </c>
    </row>
    <row r="383" spans="2:10" x14ac:dyDescent="0.25">
      <c r="B383" s="31" t="s">
        <v>178</v>
      </c>
      <c r="C383" s="31" t="s">
        <v>166</v>
      </c>
      <c r="D383" s="31"/>
      <c r="E383" s="31" t="s">
        <v>165</v>
      </c>
      <c r="F383" s="31"/>
      <c r="G383" s="31" t="s">
        <v>367</v>
      </c>
      <c r="H383" s="31" t="s">
        <v>151</v>
      </c>
      <c r="I383" s="30">
        <v>1565.3</v>
      </c>
      <c r="J383" s="30">
        <v>719222.91</v>
      </c>
    </row>
    <row r="384" spans="2:10" x14ac:dyDescent="0.25">
      <c r="B384" s="31" t="s">
        <v>237</v>
      </c>
      <c r="C384" s="31" t="s">
        <v>166</v>
      </c>
      <c r="D384" s="31"/>
      <c r="E384" s="31" t="s">
        <v>165</v>
      </c>
      <c r="F384" s="31"/>
      <c r="G384" s="31" t="s">
        <v>367</v>
      </c>
      <c r="H384" s="31" t="s">
        <v>151</v>
      </c>
      <c r="I384" s="30">
        <v>406.06</v>
      </c>
      <c r="J384" s="30">
        <v>719628.97</v>
      </c>
    </row>
    <row r="385" spans="2:10" x14ac:dyDescent="0.25">
      <c r="B385" s="31" t="s">
        <v>237</v>
      </c>
      <c r="C385" s="31" t="s">
        <v>166</v>
      </c>
      <c r="D385" s="31"/>
      <c r="E385" s="31" t="s">
        <v>165</v>
      </c>
      <c r="F385" s="31"/>
      <c r="G385" s="31" t="s">
        <v>371</v>
      </c>
      <c r="H385" s="31" t="s">
        <v>151</v>
      </c>
      <c r="I385" s="30">
        <v>657</v>
      </c>
      <c r="J385" s="30">
        <v>720285.97</v>
      </c>
    </row>
    <row r="386" spans="2:10" x14ac:dyDescent="0.25">
      <c r="B386" s="31" t="s">
        <v>173</v>
      </c>
      <c r="C386" s="31" t="s">
        <v>166</v>
      </c>
      <c r="D386" s="31"/>
      <c r="E386" s="31" t="s">
        <v>165</v>
      </c>
      <c r="F386" s="31"/>
      <c r="G386" s="31" t="s">
        <v>370</v>
      </c>
      <c r="H386" s="31" t="s">
        <v>151</v>
      </c>
      <c r="I386" s="30">
        <v>388.74</v>
      </c>
      <c r="J386" s="30">
        <v>720674.71</v>
      </c>
    </row>
    <row r="387" spans="2:10" x14ac:dyDescent="0.25">
      <c r="B387" s="31" t="s">
        <v>173</v>
      </c>
      <c r="C387" s="31" t="s">
        <v>166</v>
      </c>
      <c r="D387" s="31"/>
      <c r="E387" s="31" t="s">
        <v>165</v>
      </c>
      <c r="F387" s="31"/>
      <c r="G387" s="31" t="s">
        <v>367</v>
      </c>
      <c r="H387" s="31" t="s">
        <v>151</v>
      </c>
      <c r="I387" s="30">
        <v>997.65</v>
      </c>
      <c r="J387" s="30">
        <v>721672.36</v>
      </c>
    </row>
    <row r="388" spans="2:10" x14ac:dyDescent="0.25">
      <c r="B388" s="31" t="s">
        <v>232</v>
      </c>
      <c r="C388" s="31" t="s">
        <v>166</v>
      </c>
      <c r="D388" s="31"/>
      <c r="E388" s="31" t="s">
        <v>165</v>
      </c>
      <c r="F388" s="31"/>
      <c r="G388" s="31" t="s">
        <v>367</v>
      </c>
      <c r="H388" s="31" t="s">
        <v>151</v>
      </c>
      <c r="I388" s="30">
        <v>721.21</v>
      </c>
      <c r="J388" s="30">
        <v>722393.57</v>
      </c>
    </row>
    <row r="389" spans="2:10" x14ac:dyDescent="0.25">
      <c r="B389" s="31" t="s">
        <v>232</v>
      </c>
      <c r="C389" s="31" t="s">
        <v>166</v>
      </c>
      <c r="D389" s="31"/>
      <c r="E389" s="31" t="s">
        <v>165</v>
      </c>
      <c r="F389" s="31"/>
      <c r="G389" s="31" t="s">
        <v>367</v>
      </c>
      <c r="H389" s="31" t="s">
        <v>151</v>
      </c>
      <c r="I389" s="30">
        <v>2650.35</v>
      </c>
      <c r="J389" s="30">
        <v>725043.92</v>
      </c>
    </row>
    <row r="390" spans="2:10" x14ac:dyDescent="0.25">
      <c r="B390" s="31" t="s">
        <v>232</v>
      </c>
      <c r="C390" s="31" t="s">
        <v>166</v>
      </c>
      <c r="D390" s="31"/>
      <c r="E390" s="31" t="s">
        <v>165</v>
      </c>
      <c r="F390" s="31"/>
      <c r="G390" s="31" t="s">
        <v>369</v>
      </c>
      <c r="H390" s="31" t="s">
        <v>151</v>
      </c>
      <c r="I390" s="30">
        <v>774.35</v>
      </c>
      <c r="J390" s="30">
        <v>725818.27</v>
      </c>
    </row>
    <row r="391" spans="2:10" x14ac:dyDescent="0.25">
      <c r="B391" s="31" t="s">
        <v>232</v>
      </c>
      <c r="C391" s="31" t="s">
        <v>166</v>
      </c>
      <c r="D391" s="31"/>
      <c r="E391" s="31" t="s">
        <v>165</v>
      </c>
      <c r="F391" s="31"/>
      <c r="G391" s="31" t="s">
        <v>369</v>
      </c>
      <c r="H391" s="31" t="s">
        <v>151</v>
      </c>
      <c r="I391" s="30">
        <v>2140.6</v>
      </c>
      <c r="J391" s="30">
        <v>727958.87</v>
      </c>
    </row>
    <row r="392" spans="2:10" x14ac:dyDescent="0.25">
      <c r="B392" s="31" t="s">
        <v>232</v>
      </c>
      <c r="C392" s="31" t="s">
        <v>166</v>
      </c>
      <c r="D392" s="31"/>
      <c r="E392" s="31" t="s">
        <v>165</v>
      </c>
      <c r="F392" s="31" t="s">
        <v>258</v>
      </c>
      <c r="G392" s="31" t="s">
        <v>368</v>
      </c>
      <c r="H392" s="31" t="s">
        <v>151</v>
      </c>
      <c r="I392" s="30">
        <v>168.58</v>
      </c>
      <c r="J392" s="30">
        <v>728127.45</v>
      </c>
    </row>
    <row r="393" spans="2:10" x14ac:dyDescent="0.25">
      <c r="B393" s="31" t="s">
        <v>232</v>
      </c>
      <c r="C393" s="31" t="s">
        <v>166</v>
      </c>
      <c r="D393" s="31"/>
      <c r="E393" s="31" t="s">
        <v>165</v>
      </c>
      <c r="F393" s="31"/>
      <c r="G393" s="31" t="s">
        <v>367</v>
      </c>
      <c r="H393" s="31" t="s">
        <v>151</v>
      </c>
      <c r="I393" s="30">
        <v>2273.6999999999998</v>
      </c>
      <c r="J393" s="30">
        <v>730401.15</v>
      </c>
    </row>
    <row r="394" spans="2:10" x14ac:dyDescent="0.25">
      <c r="B394" s="31" t="s">
        <v>296</v>
      </c>
      <c r="C394" s="31" t="s">
        <v>166</v>
      </c>
      <c r="D394" s="31"/>
      <c r="E394" s="31" t="s">
        <v>165</v>
      </c>
      <c r="F394" s="31"/>
      <c r="G394" s="31" t="s">
        <v>367</v>
      </c>
      <c r="H394" s="31" t="s">
        <v>151</v>
      </c>
      <c r="I394" s="30">
        <v>96.2</v>
      </c>
      <c r="J394" s="30">
        <v>730497.35</v>
      </c>
    </row>
    <row r="395" spans="2:10" x14ac:dyDescent="0.25">
      <c r="B395" s="31" t="s">
        <v>296</v>
      </c>
      <c r="C395" s="31" t="s">
        <v>166</v>
      </c>
      <c r="D395" s="31"/>
      <c r="E395" s="31" t="s">
        <v>165</v>
      </c>
      <c r="F395" s="31" t="s">
        <v>258</v>
      </c>
      <c r="G395" s="31" t="s">
        <v>368</v>
      </c>
      <c r="H395" s="31" t="s">
        <v>151</v>
      </c>
      <c r="I395" s="30">
        <v>96.35</v>
      </c>
      <c r="J395" s="30">
        <v>730593.7</v>
      </c>
    </row>
    <row r="396" spans="2:10" x14ac:dyDescent="0.25">
      <c r="B396" s="31" t="s">
        <v>254</v>
      </c>
      <c r="C396" s="31" t="s">
        <v>166</v>
      </c>
      <c r="D396" s="31"/>
      <c r="E396" s="31" t="s">
        <v>165</v>
      </c>
      <c r="F396" s="31"/>
      <c r="G396" s="31" t="s">
        <v>367</v>
      </c>
      <c r="H396" s="31" t="s">
        <v>151</v>
      </c>
      <c r="I396" s="30">
        <v>1066.01</v>
      </c>
      <c r="J396" s="30">
        <v>731659.71</v>
      </c>
    </row>
    <row r="397" spans="2:10" x14ac:dyDescent="0.25">
      <c r="B397" s="31" t="s">
        <v>334</v>
      </c>
      <c r="C397" s="31" t="s">
        <v>166</v>
      </c>
      <c r="D397" s="31"/>
      <c r="E397" s="31" t="s">
        <v>165</v>
      </c>
      <c r="F397" s="31"/>
      <c r="G397" s="31" t="s">
        <v>367</v>
      </c>
      <c r="H397" s="31" t="s">
        <v>151</v>
      </c>
      <c r="I397" s="30">
        <v>560.88</v>
      </c>
      <c r="J397" s="30">
        <v>732220.59</v>
      </c>
    </row>
    <row r="398" spans="2:10" x14ac:dyDescent="0.25">
      <c r="B398" s="31" t="s">
        <v>167</v>
      </c>
      <c r="C398" s="31" t="s">
        <v>166</v>
      </c>
      <c r="D398" s="31"/>
      <c r="E398" s="31" t="s">
        <v>165</v>
      </c>
      <c r="F398" s="31" t="s">
        <v>258</v>
      </c>
      <c r="G398" s="31" t="s">
        <v>368</v>
      </c>
      <c r="H398" s="31" t="s">
        <v>151</v>
      </c>
      <c r="I398" s="30">
        <v>192.7</v>
      </c>
      <c r="J398" s="30">
        <v>732413.29</v>
      </c>
    </row>
    <row r="399" spans="2:10" x14ac:dyDescent="0.25">
      <c r="B399" s="31" t="s">
        <v>167</v>
      </c>
      <c r="C399" s="31" t="s">
        <v>166</v>
      </c>
      <c r="D399" s="31"/>
      <c r="E399" s="31" t="s">
        <v>165</v>
      </c>
      <c r="F399" s="31"/>
      <c r="G399" s="31" t="s">
        <v>367</v>
      </c>
      <c r="H399" s="31" t="s">
        <v>151</v>
      </c>
      <c r="I399" s="30">
        <v>2886.72</v>
      </c>
      <c r="J399" s="30">
        <v>735300.01</v>
      </c>
    </row>
    <row r="400" spans="2:10" x14ac:dyDescent="0.25">
      <c r="B400" s="31" t="s">
        <v>167</v>
      </c>
      <c r="C400" s="31" t="s">
        <v>365</v>
      </c>
      <c r="D400" s="31">
        <v>43</v>
      </c>
      <c r="E400" s="31" t="s">
        <v>165</v>
      </c>
      <c r="F400" s="31"/>
      <c r="G400" s="31" t="s">
        <v>366</v>
      </c>
      <c r="H400" s="32" t="s">
        <v>364</v>
      </c>
      <c r="I400" s="30">
        <v>-318.83</v>
      </c>
      <c r="J400" s="30">
        <v>734981.18</v>
      </c>
    </row>
    <row r="401" spans="1:10" x14ac:dyDescent="0.25">
      <c r="B401" s="31" t="s">
        <v>167</v>
      </c>
      <c r="C401" s="31" t="s">
        <v>365</v>
      </c>
      <c r="D401" s="31">
        <v>43</v>
      </c>
      <c r="E401" s="31" t="s">
        <v>165</v>
      </c>
      <c r="F401" s="31"/>
      <c r="G401" s="31"/>
      <c r="H401" s="32" t="s">
        <v>364</v>
      </c>
      <c r="I401" s="30">
        <v>-3692.5</v>
      </c>
      <c r="J401" s="30">
        <v>731288.68</v>
      </c>
    </row>
    <row r="402" spans="1:10" x14ac:dyDescent="0.25">
      <c r="A402" s="29" t="s">
        <v>363</v>
      </c>
      <c r="I402" s="28">
        <v>77878.41</v>
      </c>
    </row>
    <row r="403" spans="1:10" x14ac:dyDescent="0.25">
      <c r="A403" s="29" t="s">
        <v>89</v>
      </c>
    </row>
    <row r="404" spans="1:10" x14ac:dyDescent="0.25">
      <c r="A404" s="29" t="s">
        <v>362</v>
      </c>
    </row>
    <row r="405" spans="1:10" x14ac:dyDescent="0.25">
      <c r="B405" s="31" t="s">
        <v>160</v>
      </c>
      <c r="J405" s="30">
        <v>29736.35</v>
      </c>
    </row>
    <row r="406" spans="1:10" x14ac:dyDescent="0.25">
      <c r="B406" s="31" t="s">
        <v>185</v>
      </c>
      <c r="C406" s="31" t="s">
        <v>184</v>
      </c>
      <c r="D406" s="31"/>
      <c r="E406" s="31" t="s">
        <v>165</v>
      </c>
      <c r="F406" s="31" t="s">
        <v>361</v>
      </c>
      <c r="G406" s="31" t="s">
        <v>360</v>
      </c>
      <c r="H406" s="31" t="s">
        <v>12</v>
      </c>
      <c r="I406" s="30">
        <v>105</v>
      </c>
      <c r="J406" s="30">
        <v>29841.35</v>
      </c>
    </row>
    <row r="407" spans="1:10" x14ac:dyDescent="0.25">
      <c r="B407" s="31" t="s">
        <v>185</v>
      </c>
      <c r="C407" s="31" t="s">
        <v>184</v>
      </c>
      <c r="D407" s="31"/>
      <c r="E407" s="31" t="s">
        <v>165</v>
      </c>
      <c r="F407" s="31" t="s">
        <v>361</v>
      </c>
      <c r="G407" s="31" t="s">
        <v>360</v>
      </c>
      <c r="H407" s="31" t="s">
        <v>12</v>
      </c>
      <c r="I407" s="30">
        <v>205</v>
      </c>
      <c r="J407" s="30">
        <v>30046.35</v>
      </c>
    </row>
    <row r="408" spans="1:10" x14ac:dyDescent="0.25">
      <c r="B408" s="31" t="s">
        <v>185</v>
      </c>
      <c r="C408" s="31" t="s">
        <v>184</v>
      </c>
      <c r="D408" s="31"/>
      <c r="E408" s="31" t="s">
        <v>165</v>
      </c>
      <c r="F408" s="31" t="s">
        <v>361</v>
      </c>
      <c r="G408" s="31" t="s">
        <v>360</v>
      </c>
      <c r="H408" s="31" t="s">
        <v>12</v>
      </c>
      <c r="I408" s="30">
        <v>105</v>
      </c>
      <c r="J408" s="30">
        <v>30151.35</v>
      </c>
    </row>
    <row r="409" spans="1:10" x14ac:dyDescent="0.25">
      <c r="B409" s="31" t="s">
        <v>267</v>
      </c>
      <c r="C409" s="31" t="s">
        <v>184</v>
      </c>
      <c r="D409" s="31"/>
      <c r="E409" s="31" t="s">
        <v>165</v>
      </c>
      <c r="F409" s="31" t="s">
        <v>361</v>
      </c>
      <c r="G409" s="31" t="s">
        <v>360</v>
      </c>
      <c r="H409" s="31" t="s">
        <v>12</v>
      </c>
      <c r="I409" s="30">
        <v>660</v>
      </c>
      <c r="J409" s="30">
        <v>30811.35</v>
      </c>
    </row>
    <row r="410" spans="1:10" x14ac:dyDescent="0.25">
      <c r="B410" s="31" t="s">
        <v>232</v>
      </c>
      <c r="C410" s="31" t="s">
        <v>184</v>
      </c>
      <c r="D410" s="31"/>
      <c r="E410" s="31" t="s">
        <v>165</v>
      </c>
      <c r="F410" s="31" t="s">
        <v>359</v>
      </c>
      <c r="G410" s="31" t="s">
        <v>358</v>
      </c>
      <c r="H410" s="31" t="s">
        <v>12</v>
      </c>
      <c r="I410" s="30">
        <v>1526.13</v>
      </c>
      <c r="J410" s="30">
        <v>32337.48</v>
      </c>
    </row>
    <row r="411" spans="1:10" x14ac:dyDescent="0.25">
      <c r="A411" s="29" t="s">
        <v>357</v>
      </c>
      <c r="I411" s="28">
        <v>2601.13</v>
      </c>
    </row>
    <row r="412" spans="1:10" x14ac:dyDescent="0.25">
      <c r="A412" s="29" t="s">
        <v>356</v>
      </c>
    </row>
    <row r="413" spans="1:10" x14ac:dyDescent="0.25">
      <c r="B413" s="31" t="s">
        <v>160</v>
      </c>
      <c r="J413" s="30">
        <v>283106.71999999997</v>
      </c>
    </row>
    <row r="414" spans="1:10" x14ac:dyDescent="0.25">
      <c r="B414" s="31" t="s">
        <v>318</v>
      </c>
      <c r="C414" s="31" t="s">
        <v>184</v>
      </c>
      <c r="D414" s="31"/>
      <c r="E414" s="31" t="s">
        <v>165</v>
      </c>
      <c r="F414" s="31" t="s">
        <v>331</v>
      </c>
      <c r="G414" s="31" t="s">
        <v>339</v>
      </c>
      <c r="H414" s="31" t="s">
        <v>12</v>
      </c>
      <c r="I414" s="30">
        <v>63.74</v>
      </c>
      <c r="J414" s="30">
        <v>283170.46000000002</v>
      </c>
    </row>
    <row r="415" spans="1:10" x14ac:dyDescent="0.25">
      <c r="B415" s="31" t="s">
        <v>318</v>
      </c>
      <c r="C415" s="31" t="s">
        <v>184</v>
      </c>
      <c r="D415" s="31"/>
      <c r="E415" s="31" t="s">
        <v>165</v>
      </c>
      <c r="F415" s="31" t="s">
        <v>333</v>
      </c>
      <c r="G415" s="31" t="s">
        <v>335</v>
      </c>
      <c r="H415" s="31" t="s">
        <v>12</v>
      </c>
      <c r="I415" s="30">
        <v>10.76</v>
      </c>
      <c r="J415" s="30">
        <v>283181.21999999997</v>
      </c>
    </row>
    <row r="416" spans="1:10" x14ac:dyDescent="0.25">
      <c r="B416" s="31" t="s">
        <v>318</v>
      </c>
      <c r="C416" s="31" t="s">
        <v>172</v>
      </c>
      <c r="D416" s="31"/>
      <c r="E416" s="31" t="s">
        <v>165</v>
      </c>
      <c r="F416" s="31" t="s">
        <v>355</v>
      </c>
      <c r="G416" s="31" t="s">
        <v>354</v>
      </c>
      <c r="H416" s="31" t="s">
        <v>6</v>
      </c>
      <c r="I416" s="30">
        <v>-215.49</v>
      </c>
      <c r="J416" s="30">
        <v>282965.73</v>
      </c>
    </row>
    <row r="417" spans="2:10" x14ac:dyDescent="0.25">
      <c r="B417" s="31" t="s">
        <v>328</v>
      </c>
      <c r="C417" s="31" t="s">
        <v>184</v>
      </c>
      <c r="D417" s="31"/>
      <c r="E417" s="31" t="s">
        <v>165</v>
      </c>
      <c r="F417" s="31" t="s">
        <v>353</v>
      </c>
      <c r="G417" s="31" t="s">
        <v>352</v>
      </c>
      <c r="H417" s="31" t="s">
        <v>12</v>
      </c>
      <c r="I417" s="30">
        <v>2990</v>
      </c>
      <c r="J417" s="30">
        <v>285955.73</v>
      </c>
    </row>
    <row r="418" spans="2:10" x14ac:dyDescent="0.25">
      <c r="B418" s="31" t="s">
        <v>263</v>
      </c>
      <c r="C418" s="31" t="s">
        <v>184</v>
      </c>
      <c r="D418" s="31"/>
      <c r="E418" s="31" t="s">
        <v>165</v>
      </c>
      <c r="F418" s="31" t="s">
        <v>333</v>
      </c>
      <c r="G418" s="31" t="s">
        <v>351</v>
      </c>
      <c r="H418" s="31" t="s">
        <v>12</v>
      </c>
      <c r="I418" s="30">
        <v>16.32</v>
      </c>
      <c r="J418" s="30">
        <v>285972.05</v>
      </c>
    </row>
    <row r="419" spans="2:10" x14ac:dyDescent="0.25">
      <c r="B419" s="31" t="s">
        <v>284</v>
      </c>
      <c r="C419" s="31" t="s">
        <v>184</v>
      </c>
      <c r="D419" s="31"/>
      <c r="E419" s="31" t="s">
        <v>165</v>
      </c>
      <c r="F419" s="31" t="s">
        <v>333</v>
      </c>
      <c r="G419" s="31" t="s">
        <v>332</v>
      </c>
      <c r="H419" s="31" t="s">
        <v>12</v>
      </c>
      <c r="I419" s="30">
        <v>57.97</v>
      </c>
      <c r="J419" s="30">
        <v>286030.02</v>
      </c>
    </row>
    <row r="420" spans="2:10" x14ac:dyDescent="0.25">
      <c r="B420" s="31" t="s">
        <v>185</v>
      </c>
      <c r="C420" s="31" t="s">
        <v>184</v>
      </c>
      <c r="D420" s="31"/>
      <c r="E420" s="31" t="s">
        <v>165</v>
      </c>
      <c r="F420" s="31" t="s">
        <v>333</v>
      </c>
      <c r="G420" s="31" t="s">
        <v>335</v>
      </c>
      <c r="H420" s="31" t="s">
        <v>12</v>
      </c>
      <c r="I420" s="30">
        <v>35.19</v>
      </c>
      <c r="J420" s="30">
        <v>286065.21000000002</v>
      </c>
    </row>
    <row r="421" spans="2:10" x14ac:dyDescent="0.25">
      <c r="B421" s="31" t="s">
        <v>185</v>
      </c>
      <c r="C421" s="31" t="s">
        <v>184</v>
      </c>
      <c r="D421" s="31"/>
      <c r="E421" s="31" t="s">
        <v>165</v>
      </c>
      <c r="F421" s="31" t="s">
        <v>343</v>
      </c>
      <c r="G421" s="31" t="s">
        <v>342</v>
      </c>
      <c r="H421" s="31" t="s">
        <v>12</v>
      </c>
      <c r="I421" s="30">
        <v>8956.7999999999993</v>
      </c>
      <c r="J421" s="30">
        <v>295022.01</v>
      </c>
    </row>
    <row r="422" spans="2:10" x14ac:dyDescent="0.25">
      <c r="B422" s="31" t="s">
        <v>192</v>
      </c>
      <c r="C422" s="31" t="s">
        <v>184</v>
      </c>
      <c r="D422" s="31"/>
      <c r="E422" s="31" t="s">
        <v>165</v>
      </c>
      <c r="F422" s="31" t="s">
        <v>333</v>
      </c>
      <c r="G422" s="31" t="s">
        <v>335</v>
      </c>
      <c r="H422" s="31" t="s">
        <v>12</v>
      </c>
      <c r="I422" s="30">
        <v>41.11</v>
      </c>
      <c r="J422" s="30">
        <v>295063.12</v>
      </c>
    </row>
    <row r="423" spans="2:10" x14ac:dyDescent="0.25">
      <c r="B423" s="31" t="s">
        <v>192</v>
      </c>
      <c r="C423" s="31" t="s">
        <v>184</v>
      </c>
      <c r="D423" s="31"/>
      <c r="E423" s="31" t="s">
        <v>165</v>
      </c>
      <c r="F423" s="31" t="s">
        <v>333</v>
      </c>
      <c r="G423" s="31" t="s">
        <v>335</v>
      </c>
      <c r="H423" s="31" t="s">
        <v>12</v>
      </c>
      <c r="I423" s="30">
        <v>20.72</v>
      </c>
      <c r="J423" s="30">
        <v>295083.84000000003</v>
      </c>
    </row>
    <row r="424" spans="2:10" x14ac:dyDescent="0.25">
      <c r="B424" s="31" t="s">
        <v>242</v>
      </c>
      <c r="C424" s="31" t="s">
        <v>184</v>
      </c>
      <c r="D424" s="31"/>
      <c r="E424" s="31" t="s">
        <v>165</v>
      </c>
      <c r="F424" s="31" t="s">
        <v>331</v>
      </c>
      <c r="G424" s="31" t="s">
        <v>339</v>
      </c>
      <c r="H424" s="31" t="s">
        <v>12</v>
      </c>
      <c r="I424" s="30">
        <v>50.02</v>
      </c>
      <c r="J424" s="30">
        <v>295133.86</v>
      </c>
    </row>
    <row r="425" spans="2:10" x14ac:dyDescent="0.25">
      <c r="B425" s="31" t="s">
        <v>242</v>
      </c>
      <c r="C425" s="31" t="s">
        <v>184</v>
      </c>
      <c r="D425" s="31"/>
      <c r="E425" s="31" t="s">
        <v>165</v>
      </c>
      <c r="F425" s="31" t="s">
        <v>333</v>
      </c>
      <c r="G425" s="31" t="s">
        <v>335</v>
      </c>
      <c r="H425" s="31" t="s">
        <v>12</v>
      </c>
      <c r="I425" s="30">
        <v>18.309999999999999</v>
      </c>
      <c r="J425" s="30">
        <v>295152.17</v>
      </c>
    </row>
    <row r="426" spans="2:10" x14ac:dyDescent="0.25">
      <c r="B426" s="31" t="s">
        <v>242</v>
      </c>
      <c r="C426" s="31" t="s">
        <v>184</v>
      </c>
      <c r="D426" s="31"/>
      <c r="E426" s="31" t="s">
        <v>165</v>
      </c>
      <c r="F426" s="31" t="s">
        <v>333</v>
      </c>
      <c r="G426" s="31" t="s">
        <v>332</v>
      </c>
      <c r="H426" s="31" t="s">
        <v>12</v>
      </c>
      <c r="I426" s="30">
        <v>60.4</v>
      </c>
      <c r="J426" s="30">
        <v>295212.57</v>
      </c>
    </row>
    <row r="427" spans="2:10" x14ac:dyDescent="0.25">
      <c r="B427" s="31" t="s">
        <v>242</v>
      </c>
      <c r="C427" s="31" t="s">
        <v>184</v>
      </c>
      <c r="D427" s="31"/>
      <c r="E427" s="31" t="s">
        <v>165</v>
      </c>
      <c r="F427" s="31" t="s">
        <v>350</v>
      </c>
      <c r="G427" s="31" t="s">
        <v>349</v>
      </c>
      <c r="H427" s="31" t="s">
        <v>6</v>
      </c>
      <c r="I427" s="30">
        <v>1968</v>
      </c>
      <c r="J427" s="30">
        <v>297180.57</v>
      </c>
    </row>
    <row r="428" spans="2:10" x14ac:dyDescent="0.25">
      <c r="B428" s="31" t="s">
        <v>242</v>
      </c>
      <c r="C428" s="31" t="s">
        <v>184</v>
      </c>
      <c r="D428" s="31"/>
      <c r="E428" s="31" t="s">
        <v>165</v>
      </c>
      <c r="F428" s="31" t="s">
        <v>348</v>
      </c>
      <c r="G428" s="31" t="s">
        <v>347</v>
      </c>
      <c r="H428" s="31" t="s">
        <v>12</v>
      </c>
      <c r="I428" s="30">
        <v>1309.22</v>
      </c>
      <c r="J428" s="30">
        <v>298489.78999999998</v>
      </c>
    </row>
    <row r="429" spans="2:10" x14ac:dyDescent="0.25">
      <c r="B429" s="31" t="s">
        <v>267</v>
      </c>
      <c r="C429" s="31" t="s">
        <v>184</v>
      </c>
      <c r="D429" s="31"/>
      <c r="E429" s="31" t="s">
        <v>165</v>
      </c>
      <c r="F429" s="31" t="s">
        <v>343</v>
      </c>
      <c r="G429" s="31" t="s">
        <v>346</v>
      </c>
      <c r="H429" s="31" t="s">
        <v>12</v>
      </c>
      <c r="I429" s="30">
        <v>925.91</v>
      </c>
      <c r="J429" s="30">
        <v>299415.7</v>
      </c>
    </row>
    <row r="430" spans="2:10" x14ac:dyDescent="0.25">
      <c r="B430" s="31" t="s">
        <v>241</v>
      </c>
      <c r="C430" s="31" t="s">
        <v>184</v>
      </c>
      <c r="D430" s="31"/>
      <c r="E430" s="31" t="s">
        <v>165</v>
      </c>
      <c r="F430" s="31" t="s">
        <v>343</v>
      </c>
      <c r="G430" s="31" t="s">
        <v>346</v>
      </c>
      <c r="H430" s="31" t="s">
        <v>12</v>
      </c>
      <c r="I430" s="30">
        <v>416.76</v>
      </c>
      <c r="J430" s="30">
        <v>299832.46000000002</v>
      </c>
    </row>
    <row r="431" spans="2:10" x14ac:dyDescent="0.25">
      <c r="B431" s="31" t="s">
        <v>301</v>
      </c>
      <c r="C431" s="31" t="s">
        <v>184</v>
      </c>
      <c r="D431" s="31"/>
      <c r="E431" s="31" t="s">
        <v>165</v>
      </c>
      <c r="F431" s="31" t="s">
        <v>333</v>
      </c>
      <c r="G431" s="31" t="s">
        <v>335</v>
      </c>
      <c r="H431" s="31" t="s">
        <v>12</v>
      </c>
      <c r="I431" s="30">
        <v>16.149999999999999</v>
      </c>
      <c r="J431" s="30">
        <v>299848.61</v>
      </c>
    </row>
    <row r="432" spans="2:10" x14ac:dyDescent="0.25">
      <c r="B432" s="31" t="s">
        <v>240</v>
      </c>
      <c r="C432" s="31" t="s">
        <v>184</v>
      </c>
      <c r="D432" s="31"/>
      <c r="E432" s="31" t="s">
        <v>165</v>
      </c>
      <c r="F432" s="31" t="s">
        <v>333</v>
      </c>
      <c r="G432" s="31" t="s">
        <v>335</v>
      </c>
      <c r="H432" s="31" t="s">
        <v>12</v>
      </c>
      <c r="I432" s="30">
        <v>21.51</v>
      </c>
      <c r="J432" s="30">
        <v>299870.12</v>
      </c>
    </row>
    <row r="433" spans="1:10" x14ac:dyDescent="0.25">
      <c r="B433" s="31" t="s">
        <v>272</v>
      </c>
      <c r="C433" s="31" t="s">
        <v>184</v>
      </c>
      <c r="D433" s="31"/>
      <c r="E433" s="31" t="s">
        <v>165</v>
      </c>
      <c r="F433" s="31" t="s">
        <v>345</v>
      </c>
      <c r="G433" s="31" t="s">
        <v>344</v>
      </c>
      <c r="H433" s="31" t="s">
        <v>12</v>
      </c>
      <c r="I433" s="30">
        <v>477.83</v>
      </c>
      <c r="J433" s="30">
        <v>300347.95</v>
      </c>
    </row>
    <row r="434" spans="1:10" x14ac:dyDescent="0.25">
      <c r="B434" s="31" t="s">
        <v>201</v>
      </c>
      <c r="C434" s="31" t="s">
        <v>184</v>
      </c>
      <c r="D434" s="31"/>
      <c r="E434" s="31" t="s">
        <v>165</v>
      </c>
      <c r="F434" s="31" t="s">
        <v>343</v>
      </c>
      <c r="G434" s="31" t="s">
        <v>342</v>
      </c>
      <c r="H434" s="31" t="s">
        <v>12</v>
      </c>
      <c r="I434" s="30">
        <v>11093.92</v>
      </c>
      <c r="J434" s="30">
        <v>311441.87</v>
      </c>
    </row>
    <row r="435" spans="1:10" x14ac:dyDescent="0.25">
      <c r="B435" s="31" t="s">
        <v>201</v>
      </c>
      <c r="C435" s="31" t="s">
        <v>184</v>
      </c>
      <c r="D435" s="31"/>
      <c r="E435" s="31" t="s">
        <v>165</v>
      </c>
      <c r="F435" s="31" t="s">
        <v>341</v>
      </c>
      <c r="G435" s="31" t="s">
        <v>340</v>
      </c>
      <c r="H435" s="31" t="s">
        <v>12</v>
      </c>
      <c r="I435" s="30">
        <v>3259.45</v>
      </c>
      <c r="J435" s="30">
        <v>314701.32</v>
      </c>
    </row>
    <row r="436" spans="1:10" x14ac:dyDescent="0.25">
      <c r="B436" s="31" t="s">
        <v>237</v>
      </c>
      <c r="C436" s="31" t="s">
        <v>184</v>
      </c>
      <c r="D436" s="31"/>
      <c r="E436" s="31" t="s">
        <v>165</v>
      </c>
      <c r="F436" s="31" t="s">
        <v>338</v>
      </c>
      <c r="G436" s="31" t="s">
        <v>337</v>
      </c>
      <c r="H436" s="31" t="s">
        <v>12</v>
      </c>
      <c r="I436" s="30">
        <v>875</v>
      </c>
      <c r="J436" s="30">
        <v>315576.32000000001</v>
      </c>
    </row>
    <row r="437" spans="1:10" x14ac:dyDescent="0.25">
      <c r="B437" s="31" t="s">
        <v>173</v>
      </c>
      <c r="C437" s="31" t="s">
        <v>184</v>
      </c>
      <c r="D437" s="31"/>
      <c r="E437" s="31" t="s">
        <v>165</v>
      </c>
      <c r="F437" s="31" t="s">
        <v>331</v>
      </c>
      <c r="G437" s="31" t="s">
        <v>339</v>
      </c>
      <c r="H437" s="31" t="s">
        <v>12</v>
      </c>
      <c r="I437" s="30">
        <v>50.02</v>
      </c>
      <c r="J437" s="30">
        <v>315626.34000000003</v>
      </c>
    </row>
    <row r="438" spans="1:10" x14ac:dyDescent="0.25">
      <c r="B438" s="31" t="s">
        <v>209</v>
      </c>
      <c r="C438" s="31" t="s">
        <v>184</v>
      </c>
      <c r="D438" s="31"/>
      <c r="E438" s="31" t="s">
        <v>165</v>
      </c>
      <c r="F438" s="31" t="s">
        <v>338</v>
      </c>
      <c r="G438" s="31" t="s">
        <v>337</v>
      </c>
      <c r="H438" s="31" t="s">
        <v>12</v>
      </c>
      <c r="I438" s="30">
        <v>460</v>
      </c>
      <c r="J438" s="30">
        <v>316086.34000000003</v>
      </c>
    </row>
    <row r="439" spans="1:10" x14ac:dyDescent="0.25">
      <c r="B439" s="31" t="s">
        <v>336</v>
      </c>
      <c r="C439" s="31" t="s">
        <v>184</v>
      </c>
      <c r="D439" s="31"/>
      <c r="E439" s="31" t="s">
        <v>165</v>
      </c>
      <c r="F439" s="31" t="s">
        <v>333</v>
      </c>
      <c r="G439" s="31" t="s">
        <v>332</v>
      </c>
      <c r="H439" s="31" t="s">
        <v>12</v>
      </c>
      <c r="I439" s="30">
        <v>180.96</v>
      </c>
      <c r="J439" s="30">
        <v>316267.3</v>
      </c>
    </row>
    <row r="440" spans="1:10" x14ac:dyDescent="0.25">
      <c r="B440" s="31" t="s">
        <v>336</v>
      </c>
      <c r="C440" s="31" t="s">
        <v>184</v>
      </c>
      <c r="D440" s="31"/>
      <c r="E440" s="31" t="s">
        <v>165</v>
      </c>
      <c r="F440" s="31" t="s">
        <v>333</v>
      </c>
      <c r="G440" s="31" t="s">
        <v>335</v>
      </c>
      <c r="H440" s="31" t="s">
        <v>12</v>
      </c>
      <c r="I440" s="30">
        <v>27.78</v>
      </c>
      <c r="J440" s="30">
        <v>316295.08</v>
      </c>
    </row>
    <row r="441" spans="1:10" x14ac:dyDescent="0.25">
      <c r="B441" s="31" t="s">
        <v>336</v>
      </c>
      <c r="C441" s="31" t="s">
        <v>184</v>
      </c>
      <c r="D441" s="31"/>
      <c r="E441" s="31" t="s">
        <v>165</v>
      </c>
      <c r="F441" s="31" t="s">
        <v>333</v>
      </c>
      <c r="G441" s="31" t="s">
        <v>335</v>
      </c>
      <c r="H441" s="31" t="s">
        <v>12</v>
      </c>
      <c r="I441" s="30">
        <v>17.22</v>
      </c>
      <c r="J441" s="30">
        <v>316312.3</v>
      </c>
    </row>
    <row r="442" spans="1:10" x14ac:dyDescent="0.25">
      <c r="B442" s="31" t="s">
        <v>334</v>
      </c>
      <c r="C442" s="31" t="s">
        <v>184</v>
      </c>
      <c r="D442" s="31"/>
      <c r="E442" s="31" t="s">
        <v>165</v>
      </c>
      <c r="F442" s="31" t="s">
        <v>333</v>
      </c>
      <c r="G442" s="31" t="s">
        <v>335</v>
      </c>
      <c r="H442" s="31" t="s">
        <v>12</v>
      </c>
      <c r="I442" s="30">
        <v>45.82</v>
      </c>
      <c r="J442" s="30">
        <v>316358.12</v>
      </c>
    </row>
    <row r="443" spans="1:10" x14ac:dyDescent="0.25">
      <c r="B443" s="31" t="s">
        <v>334</v>
      </c>
      <c r="C443" s="31" t="s">
        <v>184</v>
      </c>
      <c r="D443" s="31"/>
      <c r="E443" s="31" t="s">
        <v>165</v>
      </c>
      <c r="F443" s="31" t="s">
        <v>333</v>
      </c>
      <c r="G443" s="31" t="s">
        <v>332</v>
      </c>
      <c r="H443" s="31" t="s">
        <v>12</v>
      </c>
      <c r="I443" s="30">
        <v>10.72</v>
      </c>
      <c r="J443" s="30">
        <v>316368.84000000003</v>
      </c>
    </row>
    <row r="444" spans="1:10" x14ac:dyDescent="0.25">
      <c r="B444" s="31" t="s">
        <v>167</v>
      </c>
      <c r="C444" s="31" t="s">
        <v>184</v>
      </c>
      <c r="D444" s="31"/>
      <c r="E444" s="31" t="s">
        <v>165</v>
      </c>
      <c r="F444" s="31" t="s">
        <v>333</v>
      </c>
      <c r="G444" s="31" t="s">
        <v>332</v>
      </c>
      <c r="H444" s="31" t="s">
        <v>12</v>
      </c>
      <c r="I444" s="30">
        <v>10.36</v>
      </c>
      <c r="J444" s="30">
        <v>316379.2</v>
      </c>
    </row>
    <row r="445" spans="1:10" x14ac:dyDescent="0.25">
      <c r="B445" s="31" t="s">
        <v>167</v>
      </c>
      <c r="C445" s="31" t="s">
        <v>184</v>
      </c>
      <c r="D445" s="31"/>
      <c r="E445" s="31" t="s">
        <v>165</v>
      </c>
      <c r="F445" s="31" t="s">
        <v>331</v>
      </c>
      <c r="G445" s="31" t="s">
        <v>330</v>
      </c>
      <c r="H445" s="31" t="s">
        <v>12</v>
      </c>
      <c r="I445" s="30">
        <v>50.02</v>
      </c>
      <c r="J445" s="30">
        <v>316429.21999999997</v>
      </c>
    </row>
    <row r="446" spans="1:10" x14ac:dyDescent="0.25">
      <c r="B446" s="31" t="s">
        <v>167</v>
      </c>
      <c r="C446" s="31" t="s">
        <v>184</v>
      </c>
      <c r="D446" s="31"/>
      <c r="E446" s="31" t="s">
        <v>165</v>
      </c>
      <c r="F446" s="31" t="s">
        <v>333</v>
      </c>
      <c r="G446" s="31" t="s">
        <v>332</v>
      </c>
      <c r="H446" s="31" t="s">
        <v>12</v>
      </c>
      <c r="I446" s="30">
        <v>9.8800000000000008</v>
      </c>
      <c r="J446" s="30">
        <v>316439.09999999998</v>
      </c>
    </row>
    <row r="447" spans="1:10" x14ac:dyDescent="0.25">
      <c r="B447" s="31" t="s">
        <v>167</v>
      </c>
      <c r="C447" s="31" t="s">
        <v>184</v>
      </c>
      <c r="D447" s="31"/>
      <c r="E447" s="31" t="s">
        <v>165</v>
      </c>
      <c r="F447" s="31" t="s">
        <v>331</v>
      </c>
      <c r="G447" s="31" t="s">
        <v>330</v>
      </c>
      <c r="H447" s="31" t="s">
        <v>12</v>
      </c>
      <c r="I447" s="30">
        <v>299</v>
      </c>
      <c r="J447" s="30">
        <v>316738.09999999998</v>
      </c>
    </row>
    <row r="448" spans="1:10" x14ac:dyDescent="0.25">
      <c r="A448" s="29" t="s">
        <v>329</v>
      </c>
      <c r="I448" s="28">
        <v>33631.379999999997</v>
      </c>
    </row>
    <row r="449" spans="1:10" x14ac:dyDescent="0.25">
      <c r="A449" s="29" t="s">
        <v>86</v>
      </c>
      <c r="I449" s="28">
        <v>36232.51</v>
      </c>
    </row>
    <row r="450" spans="1:10" x14ac:dyDescent="0.25">
      <c r="A450" s="29" t="s">
        <v>82</v>
      </c>
    </row>
    <row r="451" spans="1:10" x14ac:dyDescent="0.25">
      <c r="B451" s="31" t="s">
        <v>202</v>
      </c>
      <c r="J451" s="30">
        <v>56021.78</v>
      </c>
    </row>
    <row r="452" spans="1:10" x14ac:dyDescent="0.25">
      <c r="B452" s="31" t="s">
        <v>328</v>
      </c>
      <c r="C452" s="31" t="s">
        <v>184</v>
      </c>
      <c r="D452" s="31"/>
      <c r="E452" s="31" t="s">
        <v>165</v>
      </c>
      <c r="F452" s="31" t="s">
        <v>322</v>
      </c>
      <c r="G452" s="31" t="s">
        <v>327</v>
      </c>
      <c r="H452" s="31" t="s">
        <v>12</v>
      </c>
      <c r="I452" s="30">
        <v>70</v>
      </c>
      <c r="J452" s="30">
        <v>56091.78</v>
      </c>
    </row>
    <row r="453" spans="1:10" x14ac:dyDescent="0.25">
      <c r="B453" s="31" t="s">
        <v>303</v>
      </c>
      <c r="C453" s="31" t="s">
        <v>184</v>
      </c>
      <c r="D453" s="31"/>
      <c r="E453" s="31" t="s">
        <v>165</v>
      </c>
      <c r="F453" s="31" t="s">
        <v>326</v>
      </c>
      <c r="G453" s="31" t="s">
        <v>325</v>
      </c>
      <c r="H453" s="31" t="s">
        <v>12</v>
      </c>
      <c r="I453" s="30">
        <v>15</v>
      </c>
      <c r="J453" s="30">
        <v>56106.78</v>
      </c>
    </row>
    <row r="454" spans="1:10" x14ac:dyDescent="0.25">
      <c r="B454" s="31" t="s">
        <v>241</v>
      </c>
      <c r="C454" s="31" t="s">
        <v>184</v>
      </c>
      <c r="D454" s="31"/>
      <c r="E454" s="31" t="s">
        <v>165</v>
      </c>
      <c r="F454" s="31" t="s">
        <v>324</v>
      </c>
      <c r="G454" s="31" t="s">
        <v>323</v>
      </c>
      <c r="H454" s="31" t="s">
        <v>6</v>
      </c>
      <c r="I454" s="30">
        <v>3000</v>
      </c>
      <c r="J454" s="30">
        <v>59106.78</v>
      </c>
    </row>
    <row r="455" spans="1:10" x14ac:dyDescent="0.25">
      <c r="B455" s="31" t="s">
        <v>301</v>
      </c>
      <c r="C455" s="31" t="s">
        <v>184</v>
      </c>
      <c r="D455" s="31"/>
      <c r="E455" s="31" t="s">
        <v>165</v>
      </c>
      <c r="F455" s="31" t="s">
        <v>322</v>
      </c>
      <c r="G455" s="31" t="s">
        <v>321</v>
      </c>
      <c r="H455" s="31" t="s">
        <v>151</v>
      </c>
      <c r="I455" s="30">
        <v>3858.33</v>
      </c>
      <c r="J455" s="30">
        <v>62965.11</v>
      </c>
    </row>
    <row r="456" spans="1:10" x14ac:dyDescent="0.25">
      <c r="A456" s="29" t="s">
        <v>320</v>
      </c>
      <c r="I456" s="28">
        <v>6943.33</v>
      </c>
    </row>
    <row r="457" spans="1:10" x14ac:dyDescent="0.25">
      <c r="A457" s="29" t="s">
        <v>319</v>
      </c>
    </row>
    <row r="458" spans="1:10" x14ac:dyDescent="0.25">
      <c r="B458" s="31" t="s">
        <v>160</v>
      </c>
      <c r="J458" s="30">
        <v>3446.14</v>
      </c>
    </row>
    <row r="459" spans="1:10" x14ac:dyDescent="0.25">
      <c r="B459" s="31" t="s">
        <v>318</v>
      </c>
      <c r="C459" s="31" t="s">
        <v>184</v>
      </c>
      <c r="D459" s="31"/>
      <c r="E459" s="31" t="s">
        <v>165</v>
      </c>
      <c r="F459" s="31" t="s">
        <v>298</v>
      </c>
      <c r="G459" s="31" t="s">
        <v>317</v>
      </c>
      <c r="H459" s="31" t="s">
        <v>12</v>
      </c>
      <c r="I459" s="30">
        <v>61.2</v>
      </c>
      <c r="J459" s="30">
        <v>3507.34</v>
      </c>
    </row>
    <row r="460" spans="1:10" x14ac:dyDescent="0.25">
      <c r="B460" s="31" t="s">
        <v>245</v>
      </c>
      <c r="C460" s="31" t="s">
        <v>184</v>
      </c>
      <c r="D460" s="31"/>
      <c r="E460" s="31" t="s">
        <v>165</v>
      </c>
      <c r="F460" s="31" t="s">
        <v>298</v>
      </c>
      <c r="G460" s="31" t="s">
        <v>316</v>
      </c>
      <c r="H460" s="31" t="s">
        <v>12</v>
      </c>
      <c r="I460" s="30">
        <v>14.99</v>
      </c>
      <c r="J460" s="30">
        <v>3522.33</v>
      </c>
    </row>
    <row r="461" spans="1:10" x14ac:dyDescent="0.25">
      <c r="B461" s="31" t="s">
        <v>263</v>
      </c>
      <c r="C461" s="31" t="s">
        <v>184</v>
      </c>
      <c r="D461" s="31"/>
      <c r="E461" s="31" t="s">
        <v>165</v>
      </c>
      <c r="F461" s="31" t="s">
        <v>298</v>
      </c>
      <c r="G461" s="31" t="s">
        <v>315</v>
      </c>
      <c r="H461" s="31" t="s">
        <v>12</v>
      </c>
      <c r="I461" s="30">
        <v>13.99</v>
      </c>
      <c r="J461" s="30">
        <v>3536.32</v>
      </c>
    </row>
    <row r="462" spans="1:10" x14ac:dyDescent="0.25">
      <c r="B462" s="31" t="s">
        <v>263</v>
      </c>
      <c r="C462" s="31" t="s">
        <v>184</v>
      </c>
      <c r="D462" s="31"/>
      <c r="E462" s="31" t="s">
        <v>165</v>
      </c>
      <c r="F462" s="31" t="s">
        <v>300</v>
      </c>
      <c r="G462" s="31" t="s">
        <v>314</v>
      </c>
      <c r="H462" s="31" t="s">
        <v>12</v>
      </c>
      <c r="I462" s="30">
        <v>217</v>
      </c>
      <c r="J462" s="30">
        <v>3753.32</v>
      </c>
    </row>
    <row r="463" spans="1:10" x14ac:dyDescent="0.25">
      <c r="B463" s="31" t="s">
        <v>284</v>
      </c>
      <c r="C463" s="31" t="s">
        <v>184</v>
      </c>
      <c r="D463" s="31"/>
      <c r="E463" s="31" t="s">
        <v>165</v>
      </c>
      <c r="F463" s="31" t="s">
        <v>300</v>
      </c>
      <c r="G463" s="31" t="s">
        <v>313</v>
      </c>
      <c r="H463" s="31" t="s">
        <v>12</v>
      </c>
      <c r="I463" s="30">
        <v>25</v>
      </c>
      <c r="J463" s="30">
        <v>3778.32</v>
      </c>
    </row>
    <row r="464" spans="1:10" x14ac:dyDescent="0.25">
      <c r="B464" s="31" t="s">
        <v>284</v>
      </c>
      <c r="C464" s="31" t="s">
        <v>184</v>
      </c>
      <c r="D464" s="31"/>
      <c r="E464" s="31" t="s">
        <v>165</v>
      </c>
      <c r="F464" s="31" t="s">
        <v>300</v>
      </c>
      <c r="G464" s="31" t="s">
        <v>312</v>
      </c>
      <c r="H464" s="31" t="s">
        <v>12</v>
      </c>
      <c r="I464" s="30">
        <v>9</v>
      </c>
      <c r="J464" s="30">
        <v>3787.32</v>
      </c>
    </row>
    <row r="465" spans="1:10" x14ac:dyDescent="0.25">
      <c r="B465" s="31" t="s">
        <v>284</v>
      </c>
      <c r="C465" s="31" t="s">
        <v>184</v>
      </c>
      <c r="D465" s="31"/>
      <c r="E465" s="31" t="s">
        <v>165</v>
      </c>
      <c r="F465" s="31" t="s">
        <v>300</v>
      </c>
      <c r="G465" s="31" t="s">
        <v>311</v>
      </c>
      <c r="H465" s="31" t="s">
        <v>12</v>
      </c>
      <c r="I465" s="30">
        <v>9</v>
      </c>
      <c r="J465" s="30">
        <v>3796.32</v>
      </c>
    </row>
    <row r="466" spans="1:10" x14ac:dyDescent="0.25">
      <c r="B466" s="31" t="s">
        <v>185</v>
      </c>
      <c r="C466" s="31" t="s">
        <v>184</v>
      </c>
      <c r="D466" s="31"/>
      <c r="E466" s="31" t="s">
        <v>165</v>
      </c>
      <c r="F466" s="31" t="s">
        <v>300</v>
      </c>
      <c r="G466" s="31" t="s">
        <v>310</v>
      </c>
      <c r="H466" s="31" t="s">
        <v>12</v>
      </c>
      <c r="I466" s="30">
        <v>2</v>
      </c>
      <c r="J466" s="30">
        <v>3798.32</v>
      </c>
    </row>
    <row r="467" spans="1:10" x14ac:dyDescent="0.25">
      <c r="B467" s="31" t="s">
        <v>185</v>
      </c>
      <c r="C467" s="31" t="s">
        <v>184</v>
      </c>
      <c r="D467" s="31"/>
      <c r="E467" s="31" t="s">
        <v>165</v>
      </c>
      <c r="F467" s="31" t="s">
        <v>300</v>
      </c>
      <c r="G467" s="31" t="s">
        <v>309</v>
      </c>
      <c r="H467" s="31" t="s">
        <v>12</v>
      </c>
      <c r="I467" s="30">
        <v>33</v>
      </c>
      <c r="J467" s="30">
        <v>3831.32</v>
      </c>
    </row>
    <row r="468" spans="1:10" x14ac:dyDescent="0.25">
      <c r="B468" s="31" t="s">
        <v>185</v>
      </c>
      <c r="C468" s="31" t="s">
        <v>184</v>
      </c>
      <c r="D468" s="31"/>
      <c r="E468" s="31" t="s">
        <v>165</v>
      </c>
      <c r="F468" s="31" t="s">
        <v>300</v>
      </c>
      <c r="G468" s="31" t="s">
        <v>308</v>
      </c>
      <c r="H468" s="31" t="s">
        <v>12</v>
      </c>
      <c r="I468" s="30">
        <v>33</v>
      </c>
      <c r="J468" s="30">
        <v>3864.32</v>
      </c>
    </row>
    <row r="469" spans="1:10" x14ac:dyDescent="0.25">
      <c r="B469" s="31" t="s">
        <v>185</v>
      </c>
      <c r="C469" s="31" t="s">
        <v>184</v>
      </c>
      <c r="D469" s="31"/>
      <c r="E469" s="31" t="s">
        <v>165</v>
      </c>
      <c r="F469" s="31" t="s">
        <v>300</v>
      </c>
      <c r="G469" s="31" t="s">
        <v>307</v>
      </c>
      <c r="H469" s="31" t="s">
        <v>12</v>
      </c>
      <c r="I469" s="30">
        <v>9.1</v>
      </c>
      <c r="J469" s="30">
        <v>3873.42</v>
      </c>
    </row>
    <row r="470" spans="1:10" x14ac:dyDescent="0.25">
      <c r="B470" s="31" t="s">
        <v>223</v>
      </c>
      <c r="C470" s="31" t="s">
        <v>184</v>
      </c>
      <c r="D470" s="31"/>
      <c r="E470" s="31" t="s">
        <v>165</v>
      </c>
      <c r="F470" s="31" t="s">
        <v>300</v>
      </c>
      <c r="G470" s="31" t="s">
        <v>306</v>
      </c>
      <c r="H470" s="31" t="s">
        <v>12</v>
      </c>
      <c r="I470" s="30">
        <v>36</v>
      </c>
      <c r="J470" s="30">
        <v>3909.42</v>
      </c>
    </row>
    <row r="471" spans="1:10" x14ac:dyDescent="0.25">
      <c r="B471" s="31" t="s">
        <v>305</v>
      </c>
      <c r="C471" s="31" t="s">
        <v>184</v>
      </c>
      <c r="D471" s="31"/>
      <c r="E471" s="31" t="s">
        <v>165</v>
      </c>
      <c r="F471" s="31" t="s">
        <v>300</v>
      </c>
      <c r="G471" s="31" t="s">
        <v>304</v>
      </c>
      <c r="H471" s="31" t="s">
        <v>12</v>
      </c>
      <c r="I471" s="30">
        <v>34.04</v>
      </c>
      <c r="J471" s="30">
        <v>3943.46</v>
      </c>
    </row>
    <row r="472" spans="1:10" x14ac:dyDescent="0.25">
      <c r="B472" s="31" t="s">
        <v>303</v>
      </c>
      <c r="C472" s="31" t="s">
        <v>184</v>
      </c>
      <c r="D472" s="31"/>
      <c r="E472" s="31" t="s">
        <v>165</v>
      </c>
      <c r="F472" s="31" t="s">
        <v>300</v>
      </c>
      <c r="G472" s="31" t="s">
        <v>302</v>
      </c>
      <c r="H472" s="31" t="s">
        <v>12</v>
      </c>
      <c r="I472" s="30">
        <v>52</v>
      </c>
      <c r="J472" s="30">
        <v>3995.46</v>
      </c>
    </row>
    <row r="473" spans="1:10" x14ac:dyDescent="0.25">
      <c r="B473" s="31" t="s">
        <v>301</v>
      </c>
      <c r="C473" s="31" t="s">
        <v>184</v>
      </c>
      <c r="D473" s="31"/>
      <c r="E473" s="31" t="s">
        <v>165</v>
      </c>
      <c r="F473" s="31" t="s">
        <v>300</v>
      </c>
      <c r="G473" s="31" t="s">
        <v>299</v>
      </c>
      <c r="H473" s="31" t="s">
        <v>12</v>
      </c>
      <c r="I473" s="30">
        <v>37.51</v>
      </c>
      <c r="J473" s="30">
        <v>4032.97</v>
      </c>
    </row>
    <row r="474" spans="1:10" x14ac:dyDescent="0.25">
      <c r="B474" s="31" t="s">
        <v>237</v>
      </c>
      <c r="C474" s="31" t="s">
        <v>184</v>
      </c>
      <c r="D474" s="31"/>
      <c r="E474" s="31" t="s">
        <v>165</v>
      </c>
      <c r="F474" s="31" t="s">
        <v>298</v>
      </c>
      <c r="G474" s="31" t="s">
        <v>297</v>
      </c>
      <c r="H474" s="31" t="s">
        <v>6</v>
      </c>
      <c r="I474" s="30">
        <v>0.75</v>
      </c>
      <c r="J474" s="30">
        <v>4033.72</v>
      </c>
    </row>
    <row r="475" spans="1:10" x14ac:dyDescent="0.25">
      <c r="B475" s="31" t="s">
        <v>296</v>
      </c>
      <c r="C475" s="31" t="s">
        <v>184</v>
      </c>
      <c r="D475" s="31"/>
      <c r="E475" s="31" t="s">
        <v>165</v>
      </c>
      <c r="F475" s="31" t="s">
        <v>295</v>
      </c>
      <c r="G475" s="31" t="s">
        <v>294</v>
      </c>
      <c r="H475" s="31" t="s">
        <v>12</v>
      </c>
      <c r="I475" s="30">
        <v>100</v>
      </c>
      <c r="J475" s="30">
        <v>4133.72</v>
      </c>
    </row>
    <row r="476" spans="1:10" x14ac:dyDescent="0.25">
      <c r="A476" s="29" t="s">
        <v>293</v>
      </c>
      <c r="I476" s="28">
        <v>687.58</v>
      </c>
    </row>
    <row r="477" spans="1:10" x14ac:dyDescent="0.25">
      <c r="A477" s="29" t="s">
        <v>292</v>
      </c>
      <c r="I477" s="28">
        <v>7630.91</v>
      </c>
    </row>
    <row r="478" spans="1:10" x14ac:dyDescent="0.25">
      <c r="A478" s="29" t="s">
        <v>79</v>
      </c>
    </row>
    <row r="479" spans="1:10" x14ac:dyDescent="0.25">
      <c r="B479" s="31" t="s">
        <v>202</v>
      </c>
      <c r="J479" s="30">
        <v>61490</v>
      </c>
    </row>
    <row r="480" spans="1:10" x14ac:dyDescent="0.25">
      <c r="B480" s="31" t="s">
        <v>194</v>
      </c>
      <c r="C480" s="31" t="s">
        <v>184</v>
      </c>
      <c r="D480" s="31"/>
      <c r="E480" s="31" t="s">
        <v>165</v>
      </c>
      <c r="F480" s="31" t="s">
        <v>291</v>
      </c>
      <c r="G480" s="31" t="s">
        <v>290</v>
      </c>
      <c r="H480" s="31" t="s">
        <v>151</v>
      </c>
      <c r="I480" s="30">
        <v>6516.93</v>
      </c>
      <c r="J480" s="30">
        <v>68006.929999999993</v>
      </c>
    </row>
    <row r="481" spans="1:10" x14ac:dyDescent="0.25">
      <c r="A481" s="29" t="s">
        <v>289</v>
      </c>
      <c r="I481" s="28">
        <v>6516.93</v>
      </c>
    </row>
    <row r="482" spans="1:10" x14ac:dyDescent="0.25">
      <c r="A482" s="29" t="s">
        <v>78</v>
      </c>
    </row>
    <row r="483" spans="1:10" x14ac:dyDescent="0.25">
      <c r="B483" s="31" t="s">
        <v>202</v>
      </c>
      <c r="J483" s="30">
        <v>1145.48</v>
      </c>
    </row>
    <row r="484" spans="1:10" x14ac:dyDescent="0.25">
      <c r="A484" s="29" t="s">
        <v>288</v>
      </c>
      <c r="I484" s="28"/>
    </row>
    <row r="485" spans="1:10" x14ac:dyDescent="0.25">
      <c r="A485" s="29" t="s">
        <v>77</v>
      </c>
    </row>
    <row r="486" spans="1:10" x14ac:dyDescent="0.25">
      <c r="B486" s="31" t="s">
        <v>202</v>
      </c>
      <c r="J486" s="30">
        <v>13500</v>
      </c>
    </row>
    <row r="487" spans="1:10" x14ac:dyDescent="0.25">
      <c r="B487" s="31" t="s">
        <v>237</v>
      </c>
      <c r="C487" s="31" t="s">
        <v>184</v>
      </c>
      <c r="D487" s="31"/>
      <c r="E487" s="31" t="s">
        <v>165</v>
      </c>
      <c r="F487" s="31" t="s">
        <v>287</v>
      </c>
      <c r="G487" s="31" t="s">
        <v>286</v>
      </c>
      <c r="H487" s="31" t="s">
        <v>12</v>
      </c>
      <c r="I487" s="30">
        <v>1500</v>
      </c>
      <c r="J487" s="30">
        <v>15000</v>
      </c>
    </row>
    <row r="488" spans="1:10" x14ac:dyDescent="0.25">
      <c r="A488" s="29" t="s">
        <v>285</v>
      </c>
      <c r="I488" s="28">
        <v>1500</v>
      </c>
    </row>
    <row r="489" spans="1:10" x14ac:dyDescent="0.25">
      <c r="A489" s="29" t="s">
        <v>76</v>
      </c>
    </row>
    <row r="490" spans="1:10" x14ac:dyDescent="0.25">
      <c r="B490" s="31" t="s">
        <v>202</v>
      </c>
      <c r="J490" s="30">
        <v>25449.57</v>
      </c>
    </row>
    <row r="491" spans="1:10" x14ac:dyDescent="0.25">
      <c r="B491" s="31" t="s">
        <v>284</v>
      </c>
      <c r="C491" s="31" t="s">
        <v>184</v>
      </c>
      <c r="D491" s="31"/>
      <c r="E491" s="31" t="s">
        <v>165</v>
      </c>
      <c r="F491" s="31" t="s">
        <v>283</v>
      </c>
      <c r="G491" s="31" t="s">
        <v>282</v>
      </c>
      <c r="H491" s="31" t="s">
        <v>151</v>
      </c>
      <c r="I491" s="30">
        <v>2779.7</v>
      </c>
      <c r="J491" s="30">
        <v>28229.27</v>
      </c>
    </row>
    <row r="492" spans="1:10" x14ac:dyDescent="0.25">
      <c r="A492" s="29" t="s">
        <v>281</v>
      </c>
      <c r="I492" s="28">
        <v>2779.7</v>
      </c>
    </row>
    <row r="493" spans="1:10" x14ac:dyDescent="0.25">
      <c r="A493" s="29" t="s">
        <v>75</v>
      </c>
    </row>
    <row r="494" spans="1:10" x14ac:dyDescent="0.25">
      <c r="A494" s="29" t="s">
        <v>280</v>
      </c>
    </row>
    <row r="495" spans="1:10" x14ac:dyDescent="0.25">
      <c r="B495" s="31" t="s">
        <v>160</v>
      </c>
      <c r="J495" s="30">
        <v>82.81</v>
      </c>
    </row>
    <row r="496" spans="1:10" x14ac:dyDescent="0.25">
      <c r="A496" s="29" t="s">
        <v>279</v>
      </c>
      <c r="I496" s="28" t="s">
        <v>158</v>
      </c>
    </row>
    <row r="497" spans="1:10" x14ac:dyDescent="0.25">
      <c r="A497" s="29" t="s">
        <v>278</v>
      </c>
    </row>
    <row r="498" spans="1:10" x14ac:dyDescent="0.25">
      <c r="B498" s="31" t="s">
        <v>160</v>
      </c>
      <c r="J498" s="30">
        <v>2595.63</v>
      </c>
    </row>
    <row r="499" spans="1:10" x14ac:dyDescent="0.25">
      <c r="B499" s="31" t="s">
        <v>194</v>
      </c>
      <c r="C499" s="31" t="s">
        <v>184</v>
      </c>
      <c r="D499" s="31"/>
      <c r="E499" s="31" t="s">
        <v>165</v>
      </c>
      <c r="F499" s="31" t="s">
        <v>277</v>
      </c>
      <c r="G499" s="31" t="s">
        <v>276</v>
      </c>
      <c r="H499" s="31" t="s">
        <v>12</v>
      </c>
      <c r="I499" s="30">
        <v>456.65</v>
      </c>
      <c r="J499" s="30">
        <v>3052.28</v>
      </c>
    </row>
    <row r="500" spans="1:10" x14ac:dyDescent="0.25">
      <c r="B500" s="31" t="s">
        <v>267</v>
      </c>
      <c r="C500" s="31" t="s">
        <v>184</v>
      </c>
      <c r="D500" s="31"/>
      <c r="E500" s="31" t="s">
        <v>165</v>
      </c>
      <c r="F500" s="31" t="s">
        <v>275</v>
      </c>
      <c r="G500" s="31" t="s">
        <v>274</v>
      </c>
      <c r="H500" s="31" t="s">
        <v>12</v>
      </c>
      <c r="I500" s="30">
        <v>504</v>
      </c>
      <c r="J500" s="30">
        <v>3556.28</v>
      </c>
    </row>
    <row r="501" spans="1:10" x14ac:dyDescent="0.25">
      <c r="B501" s="31" t="s">
        <v>267</v>
      </c>
      <c r="C501" s="31" t="s">
        <v>184</v>
      </c>
      <c r="D501" s="31"/>
      <c r="E501" s="31" t="s">
        <v>165</v>
      </c>
      <c r="F501" s="31" t="s">
        <v>275</v>
      </c>
      <c r="G501" s="31" t="s">
        <v>274</v>
      </c>
      <c r="H501" s="31" t="s">
        <v>12</v>
      </c>
      <c r="I501" s="30">
        <v>60</v>
      </c>
      <c r="J501" s="30">
        <v>3616.28</v>
      </c>
    </row>
    <row r="502" spans="1:10" x14ac:dyDescent="0.25">
      <c r="B502" s="31" t="s">
        <v>267</v>
      </c>
      <c r="C502" s="31" t="s">
        <v>184</v>
      </c>
      <c r="D502" s="31"/>
      <c r="E502" s="31" t="s">
        <v>165</v>
      </c>
      <c r="F502" s="31" t="s">
        <v>275</v>
      </c>
      <c r="G502" s="31" t="s">
        <v>274</v>
      </c>
      <c r="H502" s="31" t="s">
        <v>12</v>
      </c>
      <c r="I502" s="30">
        <v>60</v>
      </c>
      <c r="J502" s="30">
        <v>3676.28</v>
      </c>
    </row>
    <row r="503" spans="1:10" x14ac:dyDescent="0.25">
      <c r="B503" s="31" t="s">
        <v>267</v>
      </c>
      <c r="C503" s="31" t="s">
        <v>184</v>
      </c>
      <c r="D503" s="31"/>
      <c r="E503" s="31" t="s">
        <v>165</v>
      </c>
      <c r="F503" s="31" t="s">
        <v>275</v>
      </c>
      <c r="G503" s="31" t="s">
        <v>274</v>
      </c>
      <c r="H503" s="31" t="s">
        <v>12</v>
      </c>
      <c r="I503" s="30">
        <v>90</v>
      </c>
      <c r="J503" s="30">
        <v>3766.28</v>
      </c>
    </row>
    <row r="504" spans="1:10" x14ac:dyDescent="0.25">
      <c r="A504" s="29" t="s">
        <v>273</v>
      </c>
      <c r="I504" s="28">
        <v>1170.6500000000001</v>
      </c>
    </row>
    <row r="505" spans="1:10" x14ac:dyDescent="0.25">
      <c r="A505" s="29" t="s">
        <v>72</v>
      </c>
      <c r="I505" s="28">
        <v>1170.6500000000001</v>
      </c>
    </row>
    <row r="506" spans="1:10" x14ac:dyDescent="0.25">
      <c r="A506" s="29" t="s">
        <v>71</v>
      </c>
    </row>
    <row r="507" spans="1:10" x14ac:dyDescent="0.25">
      <c r="B507" s="31" t="s">
        <v>202</v>
      </c>
      <c r="J507" s="30">
        <v>11319.29</v>
      </c>
    </row>
    <row r="508" spans="1:10" x14ac:dyDescent="0.25">
      <c r="B508" s="31" t="s">
        <v>263</v>
      </c>
      <c r="C508" s="31" t="s">
        <v>184</v>
      </c>
      <c r="D508" s="31"/>
      <c r="E508" s="31" t="s">
        <v>165</v>
      </c>
      <c r="F508" s="31" t="s">
        <v>271</v>
      </c>
      <c r="G508" s="31" t="s">
        <v>270</v>
      </c>
      <c r="H508" s="31" t="s">
        <v>151</v>
      </c>
      <c r="I508" s="30">
        <v>65.069999999999993</v>
      </c>
      <c r="J508" s="30">
        <v>11384.36</v>
      </c>
    </row>
    <row r="509" spans="1:10" x14ac:dyDescent="0.25">
      <c r="B509" s="31" t="s">
        <v>272</v>
      </c>
      <c r="C509" s="31" t="s">
        <v>184</v>
      </c>
      <c r="D509" s="31"/>
      <c r="E509" s="31" t="s">
        <v>165</v>
      </c>
      <c r="F509" s="31" t="s">
        <v>271</v>
      </c>
      <c r="G509" s="31" t="s">
        <v>270</v>
      </c>
      <c r="H509" s="31" t="s">
        <v>151</v>
      </c>
      <c r="I509" s="30">
        <v>49.61</v>
      </c>
      <c r="J509" s="30">
        <v>11433.97</v>
      </c>
    </row>
    <row r="510" spans="1:10" x14ac:dyDescent="0.25">
      <c r="A510" s="29" t="s">
        <v>269</v>
      </c>
      <c r="I510" s="28">
        <v>114.68</v>
      </c>
    </row>
    <row r="511" spans="1:10" x14ac:dyDescent="0.25">
      <c r="A511" s="29" t="s">
        <v>70</v>
      </c>
    </row>
    <row r="512" spans="1:10" x14ac:dyDescent="0.25">
      <c r="A512" s="29" t="s">
        <v>268</v>
      </c>
    </row>
    <row r="513" spans="1:10" x14ac:dyDescent="0.25">
      <c r="B513" s="31" t="s">
        <v>160</v>
      </c>
      <c r="J513" s="30">
        <v>4500</v>
      </c>
    </row>
    <row r="514" spans="1:10" x14ac:dyDescent="0.25">
      <c r="B514" s="31" t="s">
        <v>267</v>
      </c>
      <c r="C514" s="31" t="s">
        <v>184</v>
      </c>
      <c r="D514" s="31"/>
      <c r="E514" s="31" t="s">
        <v>165</v>
      </c>
      <c r="F514" s="31" t="s">
        <v>266</v>
      </c>
      <c r="G514" s="31" t="s">
        <v>265</v>
      </c>
      <c r="H514" s="31" t="s">
        <v>151</v>
      </c>
      <c r="I514" s="30">
        <v>3500</v>
      </c>
      <c r="J514" s="30">
        <v>8000</v>
      </c>
    </row>
    <row r="515" spans="1:10" x14ac:dyDescent="0.25">
      <c r="A515" s="29" t="s">
        <v>264</v>
      </c>
      <c r="I515" s="28">
        <v>3500</v>
      </c>
    </row>
    <row r="516" spans="1:10" x14ac:dyDescent="0.25">
      <c r="A516" s="29" t="s">
        <v>68</v>
      </c>
      <c r="I516" s="28">
        <v>3500</v>
      </c>
    </row>
    <row r="517" spans="1:10" x14ac:dyDescent="0.25">
      <c r="A517" s="29" t="s">
        <v>67</v>
      </c>
    </row>
    <row r="518" spans="1:10" x14ac:dyDescent="0.25">
      <c r="B518" s="31" t="s">
        <v>202</v>
      </c>
      <c r="J518" s="30">
        <v>204.51</v>
      </c>
    </row>
    <row r="519" spans="1:10" x14ac:dyDescent="0.25">
      <c r="B519" s="31" t="s">
        <v>263</v>
      </c>
      <c r="C519" s="31" t="s">
        <v>184</v>
      </c>
      <c r="D519" s="31"/>
      <c r="E519" s="31" t="s">
        <v>165</v>
      </c>
      <c r="F519" s="31"/>
      <c r="G519" s="31" t="s">
        <v>262</v>
      </c>
      <c r="H519" s="31" t="s">
        <v>12</v>
      </c>
      <c r="I519" s="30">
        <v>16</v>
      </c>
      <c r="J519" s="30">
        <v>220.51</v>
      </c>
    </row>
    <row r="520" spans="1:10" x14ac:dyDescent="0.25">
      <c r="A520" s="29" t="s">
        <v>261</v>
      </c>
      <c r="I520" s="28">
        <v>16</v>
      </c>
    </row>
    <row r="521" spans="1:10" x14ac:dyDescent="0.25">
      <c r="A521" s="29" t="s">
        <v>66</v>
      </c>
    </row>
    <row r="522" spans="1:10" x14ac:dyDescent="0.25">
      <c r="B522" s="31" t="s">
        <v>202</v>
      </c>
      <c r="J522" s="30">
        <v>424.46</v>
      </c>
    </row>
    <row r="523" spans="1:10" x14ac:dyDescent="0.25">
      <c r="A523" s="29" t="s">
        <v>260</v>
      </c>
      <c r="I523" s="28" t="s">
        <v>158</v>
      </c>
    </row>
    <row r="524" spans="1:10" x14ac:dyDescent="0.25">
      <c r="A524" s="29" t="s">
        <v>259</v>
      </c>
    </row>
    <row r="525" spans="1:10" x14ac:dyDescent="0.25">
      <c r="B525" s="31" t="s">
        <v>160</v>
      </c>
      <c r="J525" s="30">
        <v>1361.73</v>
      </c>
    </row>
    <row r="526" spans="1:10" x14ac:dyDescent="0.25">
      <c r="B526" s="31" t="s">
        <v>240</v>
      </c>
      <c r="C526" s="31" t="s">
        <v>184</v>
      </c>
      <c r="D526" s="31"/>
      <c r="E526" s="31" t="s">
        <v>165</v>
      </c>
      <c r="F526" s="31" t="s">
        <v>258</v>
      </c>
      <c r="G526" s="31" t="s">
        <v>257</v>
      </c>
      <c r="H526" s="31" t="s">
        <v>6</v>
      </c>
      <c r="I526" s="30">
        <v>184.99</v>
      </c>
      <c r="J526" s="30">
        <v>1546.72</v>
      </c>
    </row>
    <row r="527" spans="1:10" x14ac:dyDescent="0.25">
      <c r="A527" s="29" t="s">
        <v>256</v>
      </c>
      <c r="I527" s="28">
        <v>184.99</v>
      </c>
    </row>
    <row r="528" spans="1:10" x14ac:dyDescent="0.25">
      <c r="A528" s="29" t="s">
        <v>255</v>
      </c>
    </row>
    <row r="529" spans="1:10" x14ac:dyDescent="0.25">
      <c r="B529" s="31" t="s">
        <v>160</v>
      </c>
      <c r="J529" s="30">
        <v>579.4</v>
      </c>
    </row>
    <row r="530" spans="1:10" x14ac:dyDescent="0.25">
      <c r="B530" s="31" t="s">
        <v>254</v>
      </c>
      <c r="C530" s="31" t="s">
        <v>184</v>
      </c>
      <c r="D530" s="31"/>
      <c r="E530" s="31" t="s">
        <v>165</v>
      </c>
      <c r="F530" s="31" t="s">
        <v>253</v>
      </c>
      <c r="G530" s="31" t="s">
        <v>252</v>
      </c>
      <c r="H530" s="31" t="s">
        <v>12</v>
      </c>
      <c r="I530" s="30">
        <v>11.41</v>
      </c>
      <c r="J530" s="30">
        <v>590.80999999999995</v>
      </c>
    </row>
    <row r="531" spans="1:10" x14ac:dyDescent="0.25">
      <c r="A531" s="29" t="s">
        <v>251</v>
      </c>
      <c r="I531" s="28">
        <v>11.41</v>
      </c>
    </row>
    <row r="532" spans="1:10" x14ac:dyDescent="0.25">
      <c r="A532" s="29" t="s">
        <v>250</v>
      </c>
    </row>
    <row r="533" spans="1:10" x14ac:dyDescent="0.25">
      <c r="B533" s="31" t="s">
        <v>160</v>
      </c>
      <c r="J533" s="30">
        <v>129.30000000000001</v>
      </c>
    </row>
    <row r="534" spans="1:10" x14ac:dyDescent="0.25">
      <c r="B534" s="31" t="s">
        <v>185</v>
      </c>
      <c r="C534" s="31" t="s">
        <v>184</v>
      </c>
      <c r="D534" s="31"/>
      <c r="E534" s="31" t="s">
        <v>165</v>
      </c>
      <c r="F534" s="31" t="s">
        <v>249</v>
      </c>
      <c r="G534" s="31" t="s">
        <v>248</v>
      </c>
      <c r="H534" s="31" t="s">
        <v>12</v>
      </c>
      <c r="I534" s="30">
        <v>37.700000000000003</v>
      </c>
      <c r="J534" s="30">
        <v>167</v>
      </c>
    </row>
    <row r="535" spans="1:10" x14ac:dyDescent="0.25">
      <c r="A535" s="29" t="s">
        <v>247</v>
      </c>
      <c r="I535" s="28">
        <v>37.700000000000003</v>
      </c>
    </row>
    <row r="536" spans="1:10" x14ac:dyDescent="0.25">
      <c r="A536" s="29" t="s">
        <v>246</v>
      </c>
    </row>
    <row r="537" spans="1:10" x14ac:dyDescent="0.25">
      <c r="B537" s="31" t="s">
        <v>160</v>
      </c>
      <c r="J537" s="30">
        <v>2965.86</v>
      </c>
    </row>
    <row r="538" spans="1:10" x14ac:dyDescent="0.25">
      <c r="B538" s="31" t="s">
        <v>245</v>
      </c>
      <c r="C538" s="31" t="s">
        <v>184</v>
      </c>
      <c r="D538" s="31"/>
      <c r="E538" s="31" t="s">
        <v>165</v>
      </c>
      <c r="F538" s="31" t="s">
        <v>244</v>
      </c>
      <c r="G538" s="31" t="s">
        <v>243</v>
      </c>
      <c r="H538" s="31" t="s">
        <v>6</v>
      </c>
      <c r="I538" s="30">
        <v>20</v>
      </c>
      <c r="J538" s="30">
        <v>2985.86</v>
      </c>
    </row>
    <row r="539" spans="1:10" x14ac:dyDescent="0.25">
      <c r="B539" s="31" t="s">
        <v>242</v>
      </c>
      <c r="C539" s="31" t="s">
        <v>184</v>
      </c>
      <c r="D539" s="31"/>
      <c r="E539" s="31" t="s">
        <v>165</v>
      </c>
      <c r="F539" s="31" t="s">
        <v>234</v>
      </c>
      <c r="G539" s="31" t="s">
        <v>233</v>
      </c>
      <c r="H539" s="31" t="s">
        <v>12</v>
      </c>
      <c r="I539" s="30">
        <v>0.99</v>
      </c>
      <c r="J539" s="30">
        <v>2986.85</v>
      </c>
    </row>
    <row r="540" spans="1:10" x14ac:dyDescent="0.25">
      <c r="B540" s="31" t="s">
        <v>241</v>
      </c>
      <c r="C540" s="31" t="s">
        <v>184</v>
      </c>
      <c r="D540" s="31"/>
      <c r="E540" s="31" t="s">
        <v>165</v>
      </c>
      <c r="F540" s="31" t="s">
        <v>234</v>
      </c>
      <c r="G540" s="31" t="s">
        <v>233</v>
      </c>
      <c r="H540" s="31" t="s">
        <v>12</v>
      </c>
      <c r="I540" s="30">
        <v>19.989999999999998</v>
      </c>
      <c r="J540" s="30">
        <v>3006.84</v>
      </c>
    </row>
    <row r="541" spans="1:10" x14ac:dyDescent="0.25">
      <c r="B541" s="31" t="s">
        <v>240</v>
      </c>
      <c r="C541" s="31" t="s">
        <v>184</v>
      </c>
      <c r="D541" s="31"/>
      <c r="E541" s="31" t="s">
        <v>165</v>
      </c>
      <c r="F541" s="31" t="s">
        <v>239</v>
      </c>
      <c r="G541" s="31" t="s">
        <v>238</v>
      </c>
      <c r="H541" s="31" t="s">
        <v>12</v>
      </c>
      <c r="I541" s="30">
        <v>120</v>
      </c>
      <c r="J541" s="30">
        <v>3126.84</v>
      </c>
    </row>
    <row r="542" spans="1:10" x14ac:dyDescent="0.25">
      <c r="B542" s="31" t="s">
        <v>237</v>
      </c>
      <c r="C542" s="31" t="s">
        <v>184</v>
      </c>
      <c r="D542" s="31"/>
      <c r="E542" s="31" t="s">
        <v>165</v>
      </c>
      <c r="F542" s="31" t="s">
        <v>234</v>
      </c>
      <c r="G542" s="31" t="s">
        <v>233</v>
      </c>
      <c r="H542" s="31" t="s">
        <v>12</v>
      </c>
      <c r="I542" s="30">
        <v>12.99</v>
      </c>
      <c r="J542" s="30">
        <v>3139.83</v>
      </c>
    </row>
    <row r="543" spans="1:10" x14ac:dyDescent="0.25">
      <c r="B543" s="31" t="s">
        <v>237</v>
      </c>
      <c r="C543" s="31" t="s">
        <v>184</v>
      </c>
      <c r="D543" s="31"/>
      <c r="E543" s="31" t="s">
        <v>165</v>
      </c>
      <c r="F543" s="31" t="s">
        <v>236</v>
      </c>
      <c r="G543" s="31" t="s">
        <v>235</v>
      </c>
      <c r="H543" s="31" t="s">
        <v>151</v>
      </c>
      <c r="I543" s="30">
        <v>16.989999999999998</v>
      </c>
      <c r="J543" s="30">
        <v>3156.82</v>
      </c>
    </row>
    <row r="544" spans="1:10" x14ac:dyDescent="0.25">
      <c r="B544" s="31" t="s">
        <v>209</v>
      </c>
      <c r="C544" s="31" t="s">
        <v>184</v>
      </c>
      <c r="D544" s="31"/>
      <c r="E544" s="31" t="s">
        <v>165</v>
      </c>
      <c r="F544" s="31" t="s">
        <v>234</v>
      </c>
      <c r="G544" s="31" t="s">
        <v>233</v>
      </c>
      <c r="H544" s="31" t="s">
        <v>12</v>
      </c>
      <c r="I544" s="30">
        <v>2.99</v>
      </c>
      <c r="J544" s="30">
        <v>3159.81</v>
      </c>
    </row>
    <row r="545" spans="1:10" x14ac:dyDescent="0.25">
      <c r="B545" s="31" t="s">
        <v>232</v>
      </c>
      <c r="C545" s="31" t="s">
        <v>184</v>
      </c>
      <c r="D545" s="31"/>
      <c r="E545" s="31" t="s">
        <v>165</v>
      </c>
      <c r="F545" s="31" t="s">
        <v>231</v>
      </c>
      <c r="G545" s="31" t="s">
        <v>230</v>
      </c>
      <c r="H545" s="31" t="s">
        <v>6</v>
      </c>
      <c r="I545" s="30">
        <v>59.74</v>
      </c>
      <c r="J545" s="30">
        <v>3219.55</v>
      </c>
    </row>
    <row r="546" spans="1:10" x14ac:dyDescent="0.25">
      <c r="A546" s="29" t="s">
        <v>229</v>
      </c>
      <c r="I546" s="28">
        <v>253.69</v>
      </c>
    </row>
    <row r="547" spans="1:10" x14ac:dyDescent="0.25">
      <c r="A547" s="29" t="s">
        <v>228</v>
      </c>
      <c r="I547" s="28">
        <v>487.79</v>
      </c>
    </row>
    <row r="548" spans="1:10" x14ac:dyDescent="0.25">
      <c r="A548" s="29" t="s">
        <v>60</v>
      </c>
    </row>
    <row r="549" spans="1:10" x14ac:dyDescent="0.25">
      <c r="A549" s="29" t="s">
        <v>227</v>
      </c>
    </row>
    <row r="550" spans="1:10" x14ac:dyDescent="0.25">
      <c r="B550" s="31" t="s">
        <v>160</v>
      </c>
      <c r="J550" s="30">
        <v>10871.33</v>
      </c>
    </row>
    <row r="551" spans="1:10" x14ac:dyDescent="0.25">
      <c r="B551" s="31" t="s">
        <v>223</v>
      </c>
      <c r="C551" s="31" t="s">
        <v>219</v>
      </c>
      <c r="D551" s="31" t="s">
        <v>218</v>
      </c>
      <c r="E551" s="31" t="s">
        <v>165</v>
      </c>
      <c r="F551" s="31" t="s">
        <v>222</v>
      </c>
      <c r="G551" s="31" t="s">
        <v>226</v>
      </c>
      <c r="H551" s="31" t="s">
        <v>7</v>
      </c>
      <c r="I551" s="30">
        <v>97.82</v>
      </c>
      <c r="J551" s="30">
        <v>10969.15</v>
      </c>
    </row>
    <row r="552" spans="1:10" x14ac:dyDescent="0.25">
      <c r="B552" s="31" t="s">
        <v>223</v>
      </c>
      <c r="C552" s="31" t="s">
        <v>219</v>
      </c>
      <c r="D552" s="31" t="s">
        <v>218</v>
      </c>
      <c r="E552" s="31" t="s">
        <v>165</v>
      </c>
      <c r="F552" s="31" t="s">
        <v>220</v>
      </c>
      <c r="G552" s="31" t="s">
        <v>226</v>
      </c>
      <c r="H552" s="31" t="s">
        <v>7</v>
      </c>
      <c r="I552" s="30">
        <v>114.89</v>
      </c>
      <c r="J552" s="30">
        <v>11084.04</v>
      </c>
    </row>
    <row r="553" spans="1:10" x14ac:dyDescent="0.25">
      <c r="B553" s="31" t="s">
        <v>223</v>
      </c>
      <c r="C553" s="31" t="s">
        <v>219</v>
      </c>
      <c r="D553" s="31" t="s">
        <v>218</v>
      </c>
      <c r="E553" s="31" t="s">
        <v>165</v>
      </c>
      <c r="F553" s="31" t="s">
        <v>217</v>
      </c>
      <c r="G553" s="31" t="s">
        <v>226</v>
      </c>
      <c r="H553" s="31" t="s">
        <v>7</v>
      </c>
      <c r="I553" s="30">
        <v>101.43</v>
      </c>
      <c r="J553" s="30">
        <v>11185.47</v>
      </c>
    </row>
    <row r="554" spans="1:10" x14ac:dyDescent="0.25">
      <c r="B554" s="31" t="s">
        <v>223</v>
      </c>
      <c r="C554" s="31" t="s">
        <v>219</v>
      </c>
      <c r="D554" s="31" t="s">
        <v>218</v>
      </c>
      <c r="E554" s="31" t="s">
        <v>165</v>
      </c>
      <c r="F554" s="31" t="s">
        <v>221</v>
      </c>
      <c r="G554" s="31" t="s">
        <v>226</v>
      </c>
      <c r="H554" s="31" t="s">
        <v>7</v>
      </c>
      <c r="I554" s="30">
        <v>153.82</v>
      </c>
      <c r="J554" s="30">
        <v>11339.29</v>
      </c>
    </row>
    <row r="555" spans="1:10" x14ac:dyDescent="0.25">
      <c r="B555" s="31" t="s">
        <v>173</v>
      </c>
      <c r="C555" s="31" t="s">
        <v>219</v>
      </c>
      <c r="D555" s="31" t="s">
        <v>218</v>
      </c>
      <c r="E555" s="31" t="s">
        <v>165</v>
      </c>
      <c r="F555" s="31" t="s">
        <v>220</v>
      </c>
      <c r="G555" s="31" t="s">
        <v>226</v>
      </c>
      <c r="H555" s="31" t="s">
        <v>7</v>
      </c>
      <c r="I555" s="30">
        <v>101.79</v>
      </c>
      <c r="J555" s="30">
        <v>11441.08</v>
      </c>
    </row>
    <row r="556" spans="1:10" x14ac:dyDescent="0.25">
      <c r="B556" s="31" t="s">
        <v>173</v>
      </c>
      <c r="C556" s="31" t="s">
        <v>219</v>
      </c>
      <c r="D556" s="31" t="s">
        <v>218</v>
      </c>
      <c r="E556" s="31" t="s">
        <v>165</v>
      </c>
      <c r="F556" s="31" t="s">
        <v>221</v>
      </c>
      <c r="G556" s="31" t="s">
        <v>226</v>
      </c>
      <c r="H556" s="31" t="s">
        <v>7</v>
      </c>
      <c r="I556" s="30">
        <v>224.14</v>
      </c>
      <c r="J556" s="30">
        <v>11665.22</v>
      </c>
    </row>
    <row r="557" spans="1:10" x14ac:dyDescent="0.25">
      <c r="B557" s="31" t="s">
        <v>173</v>
      </c>
      <c r="C557" s="31" t="s">
        <v>219</v>
      </c>
      <c r="D557" s="31" t="s">
        <v>218</v>
      </c>
      <c r="E557" s="31" t="s">
        <v>165</v>
      </c>
      <c r="F557" s="31" t="s">
        <v>217</v>
      </c>
      <c r="G557" s="31" t="s">
        <v>226</v>
      </c>
      <c r="H557" s="31" t="s">
        <v>7</v>
      </c>
      <c r="I557" s="30">
        <v>138.25</v>
      </c>
      <c r="J557" s="30">
        <v>11803.47</v>
      </c>
    </row>
    <row r="558" spans="1:10" x14ac:dyDescent="0.25">
      <c r="B558" s="31" t="s">
        <v>173</v>
      </c>
      <c r="C558" s="31" t="s">
        <v>219</v>
      </c>
      <c r="D558" s="31" t="s">
        <v>218</v>
      </c>
      <c r="E558" s="31" t="s">
        <v>165</v>
      </c>
      <c r="F558" s="31" t="s">
        <v>222</v>
      </c>
      <c r="G558" s="31" t="s">
        <v>226</v>
      </c>
      <c r="H558" s="31" t="s">
        <v>7</v>
      </c>
      <c r="I558" s="30">
        <v>117.31</v>
      </c>
      <c r="J558" s="30">
        <v>11920.78</v>
      </c>
    </row>
    <row r="559" spans="1:10" x14ac:dyDescent="0.25">
      <c r="A559" s="29" t="s">
        <v>225</v>
      </c>
      <c r="I559" s="28">
        <v>1049.45</v>
      </c>
    </row>
    <row r="560" spans="1:10" x14ac:dyDescent="0.25">
      <c r="A560" s="29" t="s">
        <v>224</v>
      </c>
    </row>
    <row r="561" spans="1:10" x14ac:dyDescent="0.25">
      <c r="B561" s="31" t="s">
        <v>160</v>
      </c>
      <c r="J561" s="30">
        <v>126500.88</v>
      </c>
    </row>
    <row r="562" spans="1:10" x14ac:dyDescent="0.25">
      <c r="B562" s="31" t="s">
        <v>223</v>
      </c>
      <c r="C562" s="31" t="s">
        <v>219</v>
      </c>
      <c r="D562" s="31" t="s">
        <v>218</v>
      </c>
      <c r="E562" s="31" t="s">
        <v>165</v>
      </c>
      <c r="F562" s="31" t="s">
        <v>217</v>
      </c>
      <c r="G562" s="31" t="s">
        <v>216</v>
      </c>
      <c r="H562" s="31" t="s">
        <v>7</v>
      </c>
      <c r="I562" s="30">
        <v>1326</v>
      </c>
      <c r="J562" s="30">
        <v>127826.88</v>
      </c>
    </row>
    <row r="563" spans="1:10" x14ac:dyDescent="0.25">
      <c r="B563" s="31" t="s">
        <v>223</v>
      </c>
      <c r="C563" s="31" t="s">
        <v>219</v>
      </c>
      <c r="D563" s="31" t="s">
        <v>218</v>
      </c>
      <c r="E563" s="31" t="s">
        <v>165</v>
      </c>
      <c r="F563" s="31" t="s">
        <v>220</v>
      </c>
      <c r="G563" s="31" t="s">
        <v>216</v>
      </c>
      <c r="H563" s="31" t="s">
        <v>7</v>
      </c>
      <c r="I563" s="30">
        <v>1501.83</v>
      </c>
      <c r="J563" s="30">
        <v>129328.71</v>
      </c>
    </row>
    <row r="564" spans="1:10" x14ac:dyDescent="0.25">
      <c r="B564" s="31" t="s">
        <v>223</v>
      </c>
      <c r="C564" s="31" t="s">
        <v>219</v>
      </c>
      <c r="D564" s="31" t="s">
        <v>218</v>
      </c>
      <c r="E564" s="31" t="s">
        <v>165</v>
      </c>
      <c r="F564" s="31" t="s">
        <v>222</v>
      </c>
      <c r="G564" s="31" t="s">
        <v>216</v>
      </c>
      <c r="H564" s="31" t="s">
        <v>7</v>
      </c>
      <c r="I564" s="30">
        <v>1278.72</v>
      </c>
      <c r="J564" s="30">
        <v>130607.43</v>
      </c>
    </row>
    <row r="565" spans="1:10" x14ac:dyDescent="0.25">
      <c r="B565" s="31" t="s">
        <v>223</v>
      </c>
      <c r="C565" s="31" t="s">
        <v>219</v>
      </c>
      <c r="D565" s="31" t="s">
        <v>218</v>
      </c>
      <c r="E565" s="31" t="s">
        <v>165</v>
      </c>
      <c r="F565" s="31" t="s">
        <v>221</v>
      </c>
      <c r="G565" s="31" t="s">
        <v>216</v>
      </c>
      <c r="H565" s="31" t="s">
        <v>7</v>
      </c>
      <c r="I565" s="30">
        <v>2010.6</v>
      </c>
      <c r="J565" s="30">
        <v>132618.03</v>
      </c>
    </row>
    <row r="566" spans="1:10" x14ac:dyDescent="0.25">
      <c r="B566" s="31" t="s">
        <v>173</v>
      </c>
      <c r="C566" s="31" t="s">
        <v>219</v>
      </c>
      <c r="D566" s="31" t="s">
        <v>218</v>
      </c>
      <c r="E566" s="31" t="s">
        <v>165</v>
      </c>
      <c r="F566" s="31" t="s">
        <v>222</v>
      </c>
      <c r="G566" s="31" t="s">
        <v>216</v>
      </c>
      <c r="H566" s="31" t="s">
        <v>7</v>
      </c>
      <c r="I566" s="30">
        <v>1533.5</v>
      </c>
      <c r="J566" s="30">
        <v>134151.53</v>
      </c>
    </row>
    <row r="567" spans="1:10" x14ac:dyDescent="0.25">
      <c r="B567" s="31" t="s">
        <v>173</v>
      </c>
      <c r="C567" s="31" t="s">
        <v>219</v>
      </c>
      <c r="D567" s="31" t="s">
        <v>218</v>
      </c>
      <c r="E567" s="31" t="s">
        <v>165</v>
      </c>
      <c r="F567" s="31" t="s">
        <v>221</v>
      </c>
      <c r="G567" s="31" t="s">
        <v>216</v>
      </c>
      <c r="H567" s="31" t="s">
        <v>7</v>
      </c>
      <c r="I567" s="30">
        <v>2930</v>
      </c>
      <c r="J567" s="30">
        <v>137081.53</v>
      </c>
    </row>
    <row r="568" spans="1:10" x14ac:dyDescent="0.25">
      <c r="B568" s="31" t="s">
        <v>173</v>
      </c>
      <c r="C568" s="31" t="s">
        <v>219</v>
      </c>
      <c r="D568" s="31" t="s">
        <v>218</v>
      </c>
      <c r="E568" s="31" t="s">
        <v>165</v>
      </c>
      <c r="F568" s="31" t="s">
        <v>220</v>
      </c>
      <c r="G568" s="31" t="s">
        <v>216</v>
      </c>
      <c r="H568" s="31" t="s">
        <v>7</v>
      </c>
      <c r="I568" s="30">
        <v>1330.73</v>
      </c>
      <c r="J568" s="30">
        <v>138412.26</v>
      </c>
    </row>
    <row r="569" spans="1:10" x14ac:dyDescent="0.25">
      <c r="B569" s="31" t="s">
        <v>173</v>
      </c>
      <c r="C569" s="31" t="s">
        <v>219</v>
      </c>
      <c r="D569" s="31" t="s">
        <v>218</v>
      </c>
      <c r="E569" s="31" t="s">
        <v>165</v>
      </c>
      <c r="F569" s="31" t="s">
        <v>217</v>
      </c>
      <c r="G569" s="31" t="s">
        <v>216</v>
      </c>
      <c r="H569" s="31" t="s">
        <v>7</v>
      </c>
      <c r="I569" s="30">
        <v>1807</v>
      </c>
      <c r="J569" s="30">
        <v>140219.26</v>
      </c>
    </row>
    <row r="570" spans="1:10" x14ac:dyDescent="0.25">
      <c r="A570" s="29" t="s">
        <v>215</v>
      </c>
      <c r="I570" s="28">
        <v>13718.38</v>
      </c>
    </row>
    <row r="571" spans="1:10" x14ac:dyDescent="0.25">
      <c r="A571" s="29" t="s">
        <v>57</v>
      </c>
      <c r="I571" s="28">
        <v>14767.83</v>
      </c>
    </row>
    <row r="572" spans="1:10" x14ac:dyDescent="0.25">
      <c r="A572" s="29" t="s">
        <v>56</v>
      </c>
    </row>
    <row r="573" spans="1:10" x14ac:dyDescent="0.25">
      <c r="B573" s="31" t="s">
        <v>202</v>
      </c>
      <c r="J573" s="30">
        <v>1476.08</v>
      </c>
    </row>
    <row r="574" spans="1:10" x14ac:dyDescent="0.25">
      <c r="A574" s="29" t="s">
        <v>214</v>
      </c>
      <c r="I574" s="28"/>
    </row>
    <row r="575" spans="1:10" x14ac:dyDescent="0.25">
      <c r="A575" s="29" t="s">
        <v>55</v>
      </c>
    </row>
    <row r="576" spans="1:10" x14ac:dyDescent="0.25">
      <c r="B576" s="31" t="s">
        <v>202</v>
      </c>
      <c r="J576" s="30">
        <v>64</v>
      </c>
    </row>
    <row r="577" spans="1:10" x14ac:dyDescent="0.25">
      <c r="B577" s="31" t="s">
        <v>173</v>
      </c>
      <c r="C577" s="31" t="s">
        <v>184</v>
      </c>
      <c r="D577" s="31"/>
      <c r="E577" s="31" t="s">
        <v>165</v>
      </c>
      <c r="F577" s="31" t="s">
        <v>213</v>
      </c>
      <c r="G577" s="31" t="s">
        <v>212</v>
      </c>
      <c r="H577" s="31" t="s">
        <v>12</v>
      </c>
      <c r="I577" s="30">
        <v>90</v>
      </c>
      <c r="J577" s="30">
        <v>154</v>
      </c>
    </row>
    <row r="578" spans="1:10" x14ac:dyDescent="0.25">
      <c r="A578" s="29" t="s">
        <v>211</v>
      </c>
      <c r="I578" s="28">
        <v>90</v>
      </c>
    </row>
    <row r="579" spans="1:10" x14ac:dyDescent="0.25">
      <c r="A579" s="29" t="s">
        <v>210</v>
      </c>
    </row>
    <row r="580" spans="1:10" x14ac:dyDescent="0.25">
      <c r="B580" s="31" t="s">
        <v>160</v>
      </c>
      <c r="J580" s="30">
        <v>4505.91</v>
      </c>
    </row>
    <row r="581" spans="1:10" x14ac:dyDescent="0.25">
      <c r="B581" s="31" t="s">
        <v>178</v>
      </c>
      <c r="C581" s="31" t="s">
        <v>184</v>
      </c>
      <c r="D581" s="31"/>
      <c r="E581" s="31" t="s">
        <v>165</v>
      </c>
      <c r="F581" s="31" t="s">
        <v>208</v>
      </c>
      <c r="G581" s="31" t="s">
        <v>207</v>
      </c>
      <c r="H581" s="31" t="s">
        <v>12</v>
      </c>
      <c r="I581" s="30">
        <v>35</v>
      </c>
      <c r="J581" s="30">
        <v>4540.91</v>
      </c>
    </row>
    <row r="582" spans="1:10" x14ac:dyDescent="0.25">
      <c r="B582" s="31" t="s">
        <v>209</v>
      </c>
      <c r="C582" s="31" t="s">
        <v>184</v>
      </c>
      <c r="D582" s="31"/>
      <c r="E582" s="31" t="s">
        <v>165</v>
      </c>
      <c r="F582" s="31" t="s">
        <v>208</v>
      </c>
      <c r="G582" s="31" t="s">
        <v>207</v>
      </c>
      <c r="H582" s="31" t="s">
        <v>12</v>
      </c>
      <c r="I582" s="30">
        <v>35</v>
      </c>
      <c r="J582" s="30">
        <v>4575.91</v>
      </c>
    </row>
    <row r="583" spans="1:10" x14ac:dyDescent="0.25">
      <c r="B583" s="31" t="s">
        <v>209</v>
      </c>
      <c r="C583" s="31" t="s">
        <v>184</v>
      </c>
      <c r="D583" s="31"/>
      <c r="E583" s="31" t="s">
        <v>165</v>
      </c>
      <c r="F583" s="31" t="s">
        <v>208</v>
      </c>
      <c r="G583" s="31" t="s">
        <v>207</v>
      </c>
      <c r="H583" s="31" t="s">
        <v>12</v>
      </c>
      <c r="I583" s="30">
        <v>75</v>
      </c>
      <c r="J583" s="30">
        <v>4650.91</v>
      </c>
    </row>
    <row r="584" spans="1:10" x14ac:dyDescent="0.25">
      <c r="A584" s="29" t="s">
        <v>206</v>
      </c>
      <c r="I584" s="28">
        <v>145</v>
      </c>
    </row>
    <row r="585" spans="1:10" x14ac:dyDescent="0.25">
      <c r="A585" s="29" t="s">
        <v>205</v>
      </c>
    </row>
    <row r="586" spans="1:10" x14ac:dyDescent="0.25">
      <c r="B586" s="31" t="s">
        <v>160</v>
      </c>
      <c r="J586" s="30">
        <v>950.76</v>
      </c>
    </row>
    <row r="587" spans="1:10" x14ac:dyDescent="0.25">
      <c r="A587" s="29" t="s">
        <v>204</v>
      </c>
      <c r="I587" s="28" t="s">
        <v>158</v>
      </c>
    </row>
    <row r="588" spans="1:10" x14ac:dyDescent="0.25">
      <c r="A588" s="29" t="s">
        <v>203</v>
      </c>
      <c r="I588" s="28">
        <v>235</v>
      </c>
    </row>
    <row r="589" spans="1:10" x14ac:dyDescent="0.25">
      <c r="A589" s="29" t="s">
        <v>50</v>
      </c>
    </row>
    <row r="590" spans="1:10" x14ac:dyDescent="0.25">
      <c r="B590" s="31" t="s">
        <v>202</v>
      </c>
      <c r="J590" s="30">
        <v>2375.31</v>
      </c>
    </row>
    <row r="591" spans="1:10" x14ac:dyDescent="0.25">
      <c r="B591" s="31" t="s">
        <v>201</v>
      </c>
      <c r="C591" s="31" t="s">
        <v>184</v>
      </c>
      <c r="D591" s="31"/>
      <c r="E591" s="31" t="s">
        <v>165</v>
      </c>
      <c r="F591" s="31" t="s">
        <v>200</v>
      </c>
      <c r="G591" s="31" t="s">
        <v>199</v>
      </c>
      <c r="H591" s="31" t="s">
        <v>151</v>
      </c>
      <c r="I591" s="30">
        <v>313.38</v>
      </c>
      <c r="J591" s="30">
        <v>2688.69</v>
      </c>
    </row>
    <row r="592" spans="1:10" x14ac:dyDescent="0.25">
      <c r="A592" s="29" t="s">
        <v>198</v>
      </c>
      <c r="I592" s="28">
        <v>313.38</v>
      </c>
    </row>
    <row r="593" spans="1:10" x14ac:dyDescent="0.25">
      <c r="A593" s="29" t="s">
        <v>197</v>
      </c>
    </row>
    <row r="594" spans="1:10" x14ac:dyDescent="0.25">
      <c r="B594" s="31" t="s">
        <v>160</v>
      </c>
      <c r="J594" s="30">
        <v>176.96</v>
      </c>
    </row>
    <row r="595" spans="1:10" x14ac:dyDescent="0.25">
      <c r="A595" s="29" t="s">
        <v>196</v>
      </c>
      <c r="I595" s="28" t="s">
        <v>158</v>
      </c>
    </row>
    <row r="596" spans="1:10" x14ac:dyDescent="0.25">
      <c r="A596" s="29" t="s">
        <v>195</v>
      </c>
    </row>
    <row r="597" spans="1:10" x14ac:dyDescent="0.25">
      <c r="B597" s="31" t="s">
        <v>160</v>
      </c>
      <c r="J597" s="30">
        <v>2705.9</v>
      </c>
    </row>
    <row r="598" spans="1:10" x14ac:dyDescent="0.25">
      <c r="B598" s="31" t="s">
        <v>194</v>
      </c>
      <c r="C598" s="31" t="s">
        <v>184</v>
      </c>
      <c r="D598" s="31"/>
      <c r="E598" s="31" t="s">
        <v>165</v>
      </c>
      <c r="F598" s="31" t="s">
        <v>189</v>
      </c>
      <c r="G598" s="31" t="s">
        <v>193</v>
      </c>
      <c r="H598" s="31" t="s">
        <v>12</v>
      </c>
      <c r="I598" s="30">
        <v>228.38</v>
      </c>
      <c r="J598" s="30">
        <v>2934.28</v>
      </c>
    </row>
    <row r="599" spans="1:10" x14ac:dyDescent="0.25">
      <c r="B599" s="31" t="s">
        <v>192</v>
      </c>
      <c r="C599" s="31" t="s">
        <v>184</v>
      </c>
      <c r="D599" s="31"/>
      <c r="E599" s="31" t="s">
        <v>165</v>
      </c>
      <c r="F599" s="31" t="s">
        <v>191</v>
      </c>
      <c r="G599" s="31" t="s">
        <v>190</v>
      </c>
      <c r="H599" s="31" t="s">
        <v>6</v>
      </c>
      <c r="I599" s="30">
        <v>247.36</v>
      </c>
      <c r="J599" s="30">
        <v>3181.64</v>
      </c>
    </row>
    <row r="600" spans="1:10" x14ac:dyDescent="0.25">
      <c r="B600" s="31" t="s">
        <v>173</v>
      </c>
      <c r="C600" s="31" t="s">
        <v>184</v>
      </c>
      <c r="D600" s="31"/>
      <c r="E600" s="31" t="s">
        <v>165</v>
      </c>
      <c r="F600" s="31" t="s">
        <v>189</v>
      </c>
      <c r="G600" s="31" t="s">
        <v>188</v>
      </c>
      <c r="H600" s="31" t="s">
        <v>12</v>
      </c>
      <c r="I600" s="30">
        <v>42.41</v>
      </c>
      <c r="J600" s="30">
        <v>3224.05</v>
      </c>
    </row>
    <row r="601" spans="1:10" x14ac:dyDescent="0.25">
      <c r="A601" s="29" t="s">
        <v>187</v>
      </c>
      <c r="I601" s="28">
        <v>518.15</v>
      </c>
    </row>
    <row r="602" spans="1:10" x14ac:dyDescent="0.25">
      <c r="A602" s="29" t="s">
        <v>186</v>
      </c>
    </row>
    <row r="603" spans="1:10" x14ac:dyDescent="0.25">
      <c r="B603" s="31" t="s">
        <v>160</v>
      </c>
      <c r="J603" s="30">
        <v>829.9</v>
      </c>
    </row>
    <row r="604" spans="1:10" x14ac:dyDescent="0.25">
      <c r="B604" s="31" t="s">
        <v>185</v>
      </c>
      <c r="C604" s="31" t="s">
        <v>184</v>
      </c>
      <c r="D604" s="31"/>
      <c r="E604" s="31" t="s">
        <v>165</v>
      </c>
      <c r="F604" s="31" t="s">
        <v>183</v>
      </c>
      <c r="G604" s="31" t="s">
        <v>182</v>
      </c>
      <c r="H604" s="31" t="s">
        <v>12</v>
      </c>
      <c r="I604" s="30">
        <v>77.12</v>
      </c>
      <c r="J604" s="30">
        <v>907.02</v>
      </c>
    </row>
    <row r="605" spans="1:10" x14ac:dyDescent="0.25">
      <c r="A605" s="29" t="s">
        <v>181</v>
      </c>
      <c r="I605" s="28">
        <v>77.12</v>
      </c>
    </row>
    <row r="606" spans="1:10" x14ac:dyDescent="0.25">
      <c r="A606" s="29" t="s">
        <v>180</v>
      </c>
      <c r="I606" s="28">
        <v>908.65</v>
      </c>
    </row>
    <row r="607" spans="1:10" x14ac:dyDescent="0.25">
      <c r="A607" s="29" t="s">
        <v>42</v>
      </c>
    </row>
    <row r="608" spans="1:10" x14ac:dyDescent="0.25">
      <c r="A608" s="29" t="s">
        <v>179</v>
      </c>
    </row>
    <row r="609" spans="1:10" x14ac:dyDescent="0.25">
      <c r="B609" s="31" t="s">
        <v>160</v>
      </c>
      <c r="J609" s="30">
        <v>1442.67</v>
      </c>
    </row>
    <row r="610" spans="1:10" x14ac:dyDescent="0.25">
      <c r="B610" s="31" t="s">
        <v>178</v>
      </c>
      <c r="C610" s="31" t="s">
        <v>172</v>
      </c>
      <c r="D610" s="31"/>
      <c r="E610" s="31" t="s">
        <v>165</v>
      </c>
      <c r="F610" s="31" t="s">
        <v>177</v>
      </c>
      <c r="G610" s="31" t="s">
        <v>176</v>
      </c>
      <c r="H610" s="31" t="s">
        <v>6</v>
      </c>
      <c r="I610" s="30">
        <v>83.23</v>
      </c>
      <c r="J610" s="30">
        <v>1525.9</v>
      </c>
    </row>
    <row r="611" spans="1:10" x14ac:dyDescent="0.25">
      <c r="A611" s="29" t="s">
        <v>175</v>
      </c>
      <c r="I611" s="28">
        <v>83.23</v>
      </c>
    </row>
    <row r="612" spans="1:10" x14ac:dyDescent="0.25">
      <c r="A612" s="29" t="s">
        <v>174</v>
      </c>
    </row>
    <row r="613" spans="1:10" x14ac:dyDescent="0.25">
      <c r="B613" s="31" t="s">
        <v>160</v>
      </c>
      <c r="J613" s="30">
        <v>5067.34</v>
      </c>
    </row>
    <row r="614" spans="1:10" x14ac:dyDescent="0.25">
      <c r="B614" s="31" t="s">
        <v>173</v>
      </c>
      <c r="C614" s="31" t="s">
        <v>172</v>
      </c>
      <c r="D614" s="31"/>
      <c r="E614" s="31" t="s">
        <v>165</v>
      </c>
      <c r="F614" s="31" t="s">
        <v>171</v>
      </c>
      <c r="G614" s="31" t="s">
        <v>170</v>
      </c>
      <c r="H614" s="31" t="s">
        <v>12</v>
      </c>
      <c r="I614" s="30">
        <v>643.48</v>
      </c>
      <c r="J614" s="30">
        <v>5710.82</v>
      </c>
    </row>
    <row r="615" spans="1:10" x14ac:dyDescent="0.25">
      <c r="A615" s="29" t="s">
        <v>169</v>
      </c>
      <c r="I615" s="28">
        <v>643.48</v>
      </c>
    </row>
    <row r="616" spans="1:10" x14ac:dyDescent="0.25">
      <c r="A616" s="29" t="s">
        <v>168</v>
      </c>
    </row>
    <row r="617" spans="1:10" x14ac:dyDescent="0.25">
      <c r="B617" s="31" t="s">
        <v>160</v>
      </c>
      <c r="J617" s="30">
        <v>237.73</v>
      </c>
    </row>
    <row r="618" spans="1:10" x14ac:dyDescent="0.25">
      <c r="B618" s="31" t="s">
        <v>167</v>
      </c>
      <c r="C618" s="31" t="s">
        <v>166</v>
      </c>
      <c r="D618" s="31"/>
      <c r="E618" s="31" t="s">
        <v>165</v>
      </c>
      <c r="F618" s="31" t="s">
        <v>164</v>
      </c>
      <c r="G618" s="31" t="s">
        <v>163</v>
      </c>
      <c r="H618" s="31" t="s">
        <v>151</v>
      </c>
      <c r="I618" s="30">
        <v>44.03</v>
      </c>
      <c r="J618" s="30">
        <v>281.76</v>
      </c>
    </row>
    <row r="619" spans="1:10" x14ac:dyDescent="0.25">
      <c r="A619" s="29" t="s">
        <v>162</v>
      </c>
      <c r="I619" s="28">
        <v>44.03</v>
      </c>
    </row>
    <row r="620" spans="1:10" x14ac:dyDescent="0.25">
      <c r="A620" s="29" t="s">
        <v>38</v>
      </c>
      <c r="I620" s="28">
        <v>770.74</v>
      </c>
    </row>
    <row r="621" spans="1:10" x14ac:dyDescent="0.25">
      <c r="A621" s="29" t="s">
        <v>35</v>
      </c>
    </row>
    <row r="622" spans="1:10" x14ac:dyDescent="0.25">
      <c r="A622" s="29" t="s">
        <v>161</v>
      </c>
    </row>
    <row r="623" spans="1:10" x14ac:dyDescent="0.25">
      <c r="B623" s="31" t="s">
        <v>160</v>
      </c>
      <c r="J623" s="30">
        <v>12</v>
      </c>
    </row>
    <row r="624" spans="1:10" x14ac:dyDescent="0.25">
      <c r="A624" s="29" t="s">
        <v>159</v>
      </c>
      <c r="I624" s="28" t="s">
        <v>158</v>
      </c>
    </row>
    <row r="625" spans="1:10" x14ac:dyDescent="0.25">
      <c r="A625" s="29" t="s">
        <v>33</v>
      </c>
      <c r="I625" s="28"/>
    </row>
    <row r="628" spans="1:10" x14ac:dyDescent="0.25">
      <c r="A628" s="27" t="s">
        <v>157</v>
      </c>
      <c r="B628" s="26"/>
      <c r="C628" s="26"/>
      <c r="D628" s="26"/>
      <c r="E628" s="26"/>
      <c r="F628" s="26"/>
      <c r="G628" s="26"/>
      <c r="H628" s="26"/>
      <c r="I628" s="26"/>
      <c r="J628" s="26"/>
    </row>
  </sheetData>
  <mergeCells count="4">
    <mergeCell ref="A628:J628"/>
    <mergeCell ref="A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514402CEADD4DB068762481C80919" ma:contentTypeVersion="15" ma:contentTypeDescription="Create a new document." ma:contentTypeScope="" ma:versionID="0de826ff83b06bdac533524baf8c1b47">
  <xsd:schema xmlns:xsd="http://www.w3.org/2001/XMLSchema" xmlns:xs="http://www.w3.org/2001/XMLSchema" xmlns:p="http://schemas.microsoft.com/office/2006/metadata/properties" xmlns:ns2="75f76705-ec06-461d-aad9-7d9ead3e891e" xmlns:ns3="c4e7fb95-cce7-40ce-a695-4b1ba81f39ea" targetNamespace="http://schemas.microsoft.com/office/2006/metadata/properties" ma:root="true" ma:fieldsID="89ca4c26d947024bcb541e80a815b3b4" ns2:_="" ns3:_="">
    <xsd:import namespace="75f76705-ec06-461d-aad9-7d9ead3e891e"/>
    <xsd:import namespace="c4e7fb95-cce7-40ce-a695-4b1ba81f39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76705-ec06-461d-aad9-7d9ead3e89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c56d90-97fe-469a-93fc-e75172b5c3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7fb95-cce7-40ce-a695-4b1ba81f39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9252d9-2bcb-4959-88b7-63a9801bae9a}" ma:internalName="TaxCatchAll" ma:showField="CatchAllData" ma:web="c4e7fb95-cce7-40ce-a695-4b1ba81f39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e7fb95-cce7-40ce-a695-4b1ba81f39ea" xsi:nil="true"/>
    <lcf76f155ced4ddcb4097134ff3c332f xmlns="75f76705-ec06-461d-aad9-7d9ead3e89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C534F6-661D-4CAA-9780-0B93646FDC93}"/>
</file>

<file path=customXml/itemProps2.xml><?xml version="1.0" encoding="utf-8"?>
<ds:datastoreItem xmlns:ds="http://schemas.openxmlformats.org/officeDocument/2006/customXml" ds:itemID="{7DFFF583-19C3-41A6-8309-1D7ADF1B59BA}"/>
</file>

<file path=customXml/itemProps3.xml><?xml version="1.0" encoding="utf-8"?>
<ds:datastoreItem xmlns:ds="http://schemas.openxmlformats.org/officeDocument/2006/customXml" ds:itemID="{FBCD6257-CE69-4AD4-8C84-0F0C0066CDA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Sheet</vt:lpstr>
      <vt:lpstr>P&amp;L</vt:lpstr>
      <vt:lpstr>P&amp;L by Month</vt:lpstr>
      <vt:lpstr>Statement of Cash Flows</vt:lpstr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Autumn Langley</cp:lastModifiedBy>
  <dcterms:created xsi:type="dcterms:W3CDTF">2022-03-24T08:55:57Z</dcterms:created>
  <dcterms:modified xsi:type="dcterms:W3CDTF">2025-11-05T22:48:47Z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0x010100BE6514402CEADD4DB068762481C80919</vt:lpwstr>
  </property>
</Properties>
</file>