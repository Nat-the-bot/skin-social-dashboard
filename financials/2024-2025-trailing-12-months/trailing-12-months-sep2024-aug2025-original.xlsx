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eI5T5r+1V7qkuX1vh0GK2/akPm6mn2nNnWEY4imsOg="/>
    </ext>
  </extLst>
</workbook>
</file>

<file path=xl/sharedStrings.xml><?xml version="1.0" encoding="utf-8"?>
<sst xmlns="http://schemas.openxmlformats.org/spreadsheetml/2006/main" count="88" uniqueCount="88">
  <si>
    <t>Profit and Loss by Month</t>
  </si>
  <si>
    <t>Skin Social</t>
  </si>
  <si>
    <t>September 1, 2024-August 31, 2025</t>
  </si>
  <si>
    <t>Distribution account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</si>
  <si>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</si>
  <si>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</si>
  <si>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</si>
  <si>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</si>
  <si>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</si>
  <si>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</si>
  <si>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</si>
  <si>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</si>
  <si>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</si>
  <si>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</si>
  <si>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</si>
  <si>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</si>
  <si>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Total</t>
  </si>
  <si>
    <t>Income</t>
  </si>
  <si>
    <t>Reward programs</t>
  </si>
  <si>
    <t>Sales of Product Income</t>
  </si>
  <si>
    <t>Services</t>
  </si>
  <si>
    <t>Total for Income</t>
  </si>
  <si>
    <t>Cost of Goods Sold</t>
  </si>
  <si>
    <t>Cost of goods sold</t>
  </si>
  <si>
    <t>Cost of Skincare Products</t>
  </si>
  <si>
    <t>Supplies &amp; materials</t>
  </si>
  <si>
    <t>Total for Cost of goods sold</t>
  </si>
  <si>
    <t>Total for Cost of Goods Sold</t>
  </si>
  <si>
    <t>Gross Profit</t>
  </si>
  <si>
    <t>Expenses</t>
  </si>
  <si>
    <t>Advertising &amp; marketing</t>
  </si>
  <si>
    <t>Social media</t>
  </si>
  <si>
    <t>Total for Advertising &amp; marketing</t>
  </si>
  <si>
    <t>Building &amp; property rent</t>
  </si>
  <si>
    <t>Business licences</t>
  </si>
  <si>
    <t>Contract labor</t>
  </si>
  <si>
    <t>Equipment rental</t>
  </si>
  <si>
    <t>General business expenses</t>
  </si>
  <si>
    <t>Bank fees &amp; service charges</t>
  </si>
  <si>
    <t>Memberships &amp; subscriptions</t>
  </si>
  <si>
    <t>Total for General business expenses</t>
  </si>
  <si>
    <t>Insurance</t>
  </si>
  <si>
    <t>Legal &amp; accounting services</t>
  </si>
  <si>
    <t>Accounting fees</t>
  </si>
  <si>
    <t>Legal fees</t>
  </si>
  <si>
    <t>Total for Legal &amp; accounting services</t>
  </si>
  <si>
    <t>Meals</t>
  </si>
  <si>
    <t>Travel meals</t>
  </si>
  <si>
    <t>Total for Meals</t>
  </si>
  <si>
    <t>Office expenses</t>
  </si>
  <si>
    <t>Merchant account fees</t>
  </si>
  <si>
    <t>Office supplies</t>
  </si>
  <si>
    <t>Printing &amp; photocopying</t>
  </si>
  <si>
    <t>Shipping &amp; postage</t>
  </si>
  <si>
    <t>Small tools and equipment</t>
  </si>
  <si>
    <t>Software &amp; apps</t>
  </si>
  <si>
    <t>Total for Office expenses</t>
  </si>
  <si>
    <t>Payroll expenses</t>
  </si>
  <si>
    <t>Taxes</t>
  </si>
  <si>
    <t>Wages</t>
  </si>
  <si>
    <t>Total for Payroll expenses</t>
  </si>
  <si>
    <t>Repairs &amp; maintenance</t>
  </si>
  <si>
    <t>Taxes paid</t>
  </si>
  <si>
    <t>Payroll taxes</t>
  </si>
  <si>
    <t>Total for Taxes paid</t>
  </si>
  <si>
    <t>Travel</t>
  </si>
  <si>
    <t>Airfare</t>
  </si>
  <si>
    <t>Hotels</t>
  </si>
  <si>
    <t>Total for Travel</t>
  </si>
  <si>
    <t>Uncategorized Expense</t>
  </si>
  <si>
    <t>Utilities</t>
  </si>
  <si>
    <t>Disposal &amp; waste fees</t>
  </si>
  <si>
    <t>Internet &amp; TV services</t>
  </si>
  <si>
    <t>Natural Gas</t>
  </si>
  <si>
    <t>Total for Utilities</t>
  </si>
  <si>
    <t>Total for Expenses</t>
  </si>
  <si>
    <t>Net Operating Income</t>
  </si>
  <si>
    <t>Other Income</t>
  </si>
  <si>
    <t>Other income</t>
  </si>
  <si>
    <t>Credit card rewards</t>
  </si>
  <si>
    <t>Early Pay Discounts</t>
  </si>
  <si>
    <t>Interest earned</t>
  </si>
  <si>
    <t>Total for Other income</t>
  </si>
  <si>
    <t>Total for Other Income</t>
  </si>
  <si>
    <t>Other Expenses</t>
  </si>
  <si>
    <t>Net Other Income</t>
  </si>
  <si>
    <t>Net Income</t>
  </si>
  <si>
    <t>Accrual Basis Monday, October 13, 2025 08:07 PM GMTZ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</si>
</sst>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2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2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6" numFmtId="4" xfId="0" applyAlignment="1" applyFont="1" applyNumberFormat="1">
      <alignment shrinkToFit="0" wrapText="1"/>
    </xf>
    <xf borderId="1" fillId="0" fontId="6" numFmtId="4" xfId="0" applyAlignment="1" applyBorder="1" applyFont="1" applyNumberForma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7" numFmtId="4" xfId="0" applyAlignment="1" applyBorder="1" applyFont="1" applyNumberFormat="1">
      <alignment shrinkToFit="0" wrapText="1"/>
    </xf>
    <xf borderId="2" fillId="0" fontId="7" numFmtId="164" xfId="0" applyAlignment="1" applyBorder="1" applyFont="1" applyNumberFormat="1">
      <alignment shrinkToFit="0" wrapText="1"/>
    </xf>
    <xf borderId="3" fillId="0" fontId="7" numFmtId="164" xfId="0" applyAlignment="1" applyBorder="1" applyFont="1" applyNumberFormat="1">
      <alignment shrinkToFit="0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2"/>
  <cols>
    <col customWidth="1" min="1" max="1" width="32.44"/>
    <col customWidth="1" min="2" max="2" width="16.11"/>
    <col customWidth="1" min="3" max="3" width="17.0"/>
    <col customWidth="1" min="4" max="6" width="16.11"/>
    <col customWidth="1" min="7" max="7" width="17.0"/>
    <col customWidth="1" min="8" max="9" width="16.11"/>
    <col customWidth="1" min="10" max="10" width="15.22"/>
    <col customWidth="1" min="11" max="14" width="16.11"/>
    <col customWidth="1" min="15" max="26" width="11.3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>
      <c r="A6" s="6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4"/>
    </row>
    <row r="7" outlineLevel="1">
      <c r="A7" s="6" t="s">
        <v>18</v>
      </c>
      <c r="B7" s="8">
        <v>3625.0</v>
      </c>
      <c r="C7" s="8">
        <v>1515.0</v>
      </c>
      <c r="D7" s="8">
        <v>1450.0</v>
      </c>
      <c r="E7" s="8">
        <v>1380.0</v>
      </c>
      <c r="F7" s="8">
        <v>2610.0</v>
      </c>
      <c r="G7" s="8">
        <v>1025.0</v>
      </c>
      <c r="H7" s="8">
        <v>1505.0</v>
      </c>
      <c r="I7" s="8">
        <v>1665.0</v>
      </c>
      <c r="J7" s="8">
        <v>1815.0</v>
      </c>
      <c r="K7" s="8">
        <v>510.0</v>
      </c>
      <c r="L7" s="8">
        <v>340.0</v>
      </c>
      <c r="M7" s="8">
        <v>2382.46</v>
      </c>
      <c r="N7" s="8">
        <v>19822.46</v>
      </c>
    </row>
    <row r="8" outlineLevel="1">
      <c r="A8" s="6" t="s">
        <v>19</v>
      </c>
      <c r="B8" s="8">
        <v>693.6</v>
      </c>
      <c r="C8" s="8">
        <v>637.83</v>
      </c>
      <c r="D8" s="8">
        <v>1918.29</v>
      </c>
      <c r="E8" s="8">
        <v>1779.0</v>
      </c>
      <c r="F8" s="8">
        <v>2090.0</v>
      </c>
      <c r="G8" s="8">
        <v>4594.07</v>
      </c>
      <c r="H8" s="8">
        <v>2063.25</v>
      </c>
      <c r="I8" s="8">
        <v>4053.48</v>
      </c>
      <c r="J8" s="8">
        <v>4580.0</v>
      </c>
      <c r="K8" s="8">
        <v>2981.8</v>
      </c>
      <c r="L8" s="8">
        <v>2808.51</v>
      </c>
      <c r="M8" s="8">
        <v>4647.5</v>
      </c>
      <c r="N8" s="8">
        <v>32847.33</v>
      </c>
    </row>
    <row r="9" outlineLevel="1">
      <c r="A9" s="6" t="s">
        <v>20</v>
      </c>
      <c r="B9" s="8">
        <v>35317.54</v>
      </c>
      <c r="C9" s="8">
        <v>53980.96</v>
      </c>
      <c r="D9" s="8">
        <v>48161.92</v>
      </c>
      <c r="E9" s="8">
        <v>42886.24</v>
      </c>
      <c r="F9" s="8">
        <v>55376.89</v>
      </c>
      <c r="G9" s="8">
        <v>67410.88</v>
      </c>
      <c r="H9" s="8">
        <v>73303.67</v>
      </c>
      <c r="I9" s="8">
        <v>74070.06</v>
      </c>
      <c r="J9" s="8">
        <v>66009.6</v>
      </c>
      <c r="K9" s="8">
        <v>80723.28</v>
      </c>
      <c r="L9" s="8">
        <v>63712.54</v>
      </c>
      <c r="M9" s="8">
        <v>64514.66</v>
      </c>
      <c r="N9" s="9">
        <v>725468.2400000001</v>
      </c>
    </row>
    <row r="10">
      <c r="A10" s="10" t="s">
        <v>21</v>
      </c>
      <c r="B10" s="11">
        <f t="shared" ref="B10:M10" si="1">B7+B8+B9</f>
        <v>39636.14</v>
      </c>
      <c r="C10" s="11">
        <f t="shared" si="1"/>
        <v>56133.79</v>
      </c>
      <c r="D10" s="11">
        <f t="shared" si="1"/>
        <v>51530.21</v>
      </c>
      <c r="E10" s="11">
        <f t="shared" si="1"/>
        <v>46045.24</v>
      </c>
      <c r="F10" s="11">
        <f t="shared" si="1"/>
        <v>60076.89</v>
      </c>
      <c r="G10" s="11">
        <f t="shared" si="1"/>
        <v>73029.95</v>
      </c>
      <c r="H10" s="11">
        <f t="shared" si="1"/>
        <v>76871.92</v>
      </c>
      <c r="I10" s="11">
        <f t="shared" si="1"/>
        <v>79788.54</v>
      </c>
      <c r="J10" s="11">
        <f t="shared" si="1"/>
        <v>72404.6</v>
      </c>
      <c r="K10" s="11">
        <f t="shared" si="1"/>
        <v>84215.08</v>
      </c>
      <c r="L10" s="11">
        <f t="shared" si="1"/>
        <v>66861.05</v>
      </c>
      <c r="M10" s="11">
        <f t="shared" si="1"/>
        <v>71544.62</v>
      </c>
      <c r="N10" s="12">
        <v>778138.0300000001</v>
      </c>
    </row>
    <row r="11">
      <c r="A11" s="6" t="s">
        <v>22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4"/>
    </row>
    <row r="12" outlineLevel="1">
      <c r="A12" s="6" t="s">
        <v>23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outlineLevel="2">
      <c r="A13" s="6" t="s">
        <v>24</v>
      </c>
      <c r="B13" s="7"/>
      <c r="C13" s="8">
        <v>1589.97</v>
      </c>
      <c r="D13" s="8">
        <v>235.0</v>
      </c>
      <c r="E13" s="8">
        <v>-6516.82</v>
      </c>
      <c r="F13" s="8">
        <v>481.61</v>
      </c>
      <c r="G13" s="8">
        <v>3994.84</v>
      </c>
      <c r="H13" s="8">
        <v>7168.92</v>
      </c>
      <c r="I13" s="7"/>
      <c r="J13" s="8">
        <v>2498.88</v>
      </c>
      <c r="K13" s="8">
        <v>5806.5</v>
      </c>
      <c r="L13" s="8">
        <v>2525.66</v>
      </c>
      <c r="M13" s="8">
        <v>1598.7</v>
      </c>
      <c r="N13" s="8">
        <v>19383.260000000002</v>
      </c>
    </row>
    <row r="14" outlineLevel="2">
      <c r="A14" s="6" t="s">
        <v>25</v>
      </c>
      <c r="B14" s="8">
        <v>12901.47</v>
      </c>
      <c r="C14" s="8">
        <v>35351.77</v>
      </c>
      <c r="D14" s="8">
        <v>24292.55</v>
      </c>
      <c r="E14" s="8">
        <v>10877.37</v>
      </c>
      <c r="F14" s="8">
        <v>8210.12</v>
      </c>
      <c r="G14" s="8">
        <v>40058.12</v>
      </c>
      <c r="H14" s="8">
        <v>39889.06</v>
      </c>
      <c r="I14" s="8">
        <v>32649.15</v>
      </c>
      <c r="J14" s="8">
        <v>27225.14</v>
      </c>
      <c r="K14" s="8">
        <v>27823.37</v>
      </c>
      <c r="L14" s="8">
        <v>27520.44</v>
      </c>
      <c r="M14" s="8">
        <v>27874.07</v>
      </c>
      <c r="N14" s="9">
        <v>314672.63</v>
      </c>
    </row>
    <row r="15" outlineLevel="1">
      <c r="A15" s="10" t="s">
        <v>26</v>
      </c>
      <c r="B15" s="11">
        <f t="shared" ref="B15:M15" si="2">B12+B13+B14</f>
        <v>12901.47</v>
      </c>
      <c r="C15" s="11">
        <f t="shared" si="2"/>
        <v>36941.74</v>
      </c>
      <c r="D15" s="11">
        <f t="shared" si="2"/>
        <v>24527.55</v>
      </c>
      <c r="E15" s="11">
        <f t="shared" si="2"/>
        <v>4360.55</v>
      </c>
      <c r="F15" s="11">
        <f t="shared" si="2"/>
        <v>8691.73</v>
      </c>
      <c r="G15" s="11">
        <f t="shared" si="2"/>
        <v>44052.96</v>
      </c>
      <c r="H15" s="11">
        <f t="shared" si="2"/>
        <v>47057.98</v>
      </c>
      <c r="I15" s="11">
        <f t="shared" si="2"/>
        <v>32649.15</v>
      </c>
      <c r="J15" s="11">
        <f t="shared" si="2"/>
        <v>29724.02</v>
      </c>
      <c r="K15" s="11">
        <f t="shared" si="2"/>
        <v>33629.87</v>
      </c>
      <c r="L15" s="11">
        <f t="shared" si="2"/>
        <v>30046.1</v>
      </c>
      <c r="M15" s="11">
        <f t="shared" si="2"/>
        <v>29472.77</v>
      </c>
      <c r="N15" s="13">
        <v>334055.89</v>
      </c>
    </row>
    <row r="16">
      <c r="A16" s="10" t="s">
        <v>27</v>
      </c>
      <c r="B16" s="11">
        <f t="shared" ref="B16:M16" si="3">B15</f>
        <v>12901.47</v>
      </c>
      <c r="C16" s="11">
        <f t="shared" si="3"/>
        <v>36941.74</v>
      </c>
      <c r="D16" s="11">
        <f t="shared" si="3"/>
        <v>24527.55</v>
      </c>
      <c r="E16" s="11">
        <f t="shared" si="3"/>
        <v>4360.55</v>
      </c>
      <c r="F16" s="11">
        <f t="shared" si="3"/>
        <v>8691.73</v>
      </c>
      <c r="G16" s="11">
        <f t="shared" si="3"/>
        <v>44052.96</v>
      </c>
      <c r="H16" s="11">
        <f t="shared" si="3"/>
        <v>47057.98</v>
      </c>
      <c r="I16" s="11">
        <f t="shared" si="3"/>
        <v>32649.15</v>
      </c>
      <c r="J16" s="11">
        <f t="shared" si="3"/>
        <v>29724.02</v>
      </c>
      <c r="K16" s="11">
        <f t="shared" si="3"/>
        <v>33629.87</v>
      </c>
      <c r="L16" s="11">
        <f t="shared" si="3"/>
        <v>30046.1</v>
      </c>
      <c r="M16" s="11">
        <f t="shared" si="3"/>
        <v>29472.77</v>
      </c>
      <c r="N16" s="13">
        <v>334055.89</v>
      </c>
    </row>
    <row r="17">
      <c r="A17" s="10" t="s">
        <v>28</v>
      </c>
      <c r="B17" s="11">
        <f t="shared" ref="B17:M17" si="4">B10-B16</f>
        <v>26734.67</v>
      </c>
      <c r="C17" s="11">
        <f t="shared" si="4"/>
        <v>19192.05</v>
      </c>
      <c r="D17" s="11">
        <f t="shared" si="4"/>
        <v>27002.66</v>
      </c>
      <c r="E17" s="11">
        <f t="shared" si="4"/>
        <v>41684.69</v>
      </c>
      <c r="F17" s="11">
        <f t="shared" si="4"/>
        <v>51385.16</v>
      </c>
      <c r="G17" s="11">
        <f t="shared" si="4"/>
        <v>28976.99</v>
      </c>
      <c r="H17" s="11">
        <f t="shared" si="4"/>
        <v>29813.94</v>
      </c>
      <c r="I17" s="11">
        <f t="shared" si="4"/>
        <v>47139.39</v>
      </c>
      <c r="J17" s="11">
        <f t="shared" si="4"/>
        <v>42680.58</v>
      </c>
      <c r="K17" s="11">
        <f t="shared" si="4"/>
        <v>50585.21</v>
      </c>
      <c r="L17" s="11">
        <f t="shared" si="4"/>
        <v>36814.95</v>
      </c>
      <c r="M17" s="11">
        <f t="shared" si="4"/>
        <v>42071.85</v>
      </c>
      <c r="N17" s="12">
        <v>444082.14000000013</v>
      </c>
    </row>
    <row r="18">
      <c r="A18" s="6" t="s">
        <v>29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4"/>
    </row>
    <row r="19" outlineLevel="1">
      <c r="A19" s="6" t="s">
        <v>30</v>
      </c>
      <c r="B19" s="8">
        <v>1500.0</v>
      </c>
      <c r="C19" s="8">
        <v>1557.01</v>
      </c>
      <c r="D19" s="8">
        <v>3878.44</v>
      </c>
      <c r="E19" s="8">
        <v>4978.44</v>
      </c>
      <c r="F19" s="8">
        <v>5425.5</v>
      </c>
      <c r="G19" s="8">
        <v>6166.42</v>
      </c>
      <c r="H19" s="8">
        <v>6854.62</v>
      </c>
      <c r="I19" s="8">
        <v>6647.55</v>
      </c>
      <c r="J19" s="8">
        <v>5675.45</v>
      </c>
      <c r="K19" s="8">
        <v>5845.09</v>
      </c>
      <c r="L19" s="8">
        <v>5451.45</v>
      </c>
      <c r="M19" s="8">
        <v>6354.18</v>
      </c>
      <c r="N19" s="8">
        <v>60334.14999999999</v>
      </c>
    </row>
    <row r="20" outlineLevel="2">
      <c r="A20" s="6" t="s">
        <v>31</v>
      </c>
      <c r="B20" s="8">
        <v>1107.89</v>
      </c>
      <c r="C20" s="8">
        <v>1058.86</v>
      </c>
      <c r="D20" s="8">
        <v>672.8</v>
      </c>
      <c r="E20" s="8">
        <v>640.83</v>
      </c>
      <c r="F20" s="8">
        <v>414.34</v>
      </c>
      <c r="G20" s="8">
        <v>831.0</v>
      </c>
      <c r="H20" s="8">
        <v>434.05</v>
      </c>
      <c r="I20" s="8">
        <v>70.02</v>
      </c>
      <c r="J20" s="8">
        <v>478.43</v>
      </c>
      <c r="K20" s="8">
        <v>315.1</v>
      </c>
      <c r="L20" s="8">
        <v>386.71</v>
      </c>
      <c r="M20" s="8">
        <v>172.46</v>
      </c>
      <c r="N20" s="9">
        <v>6582.490000000002</v>
      </c>
    </row>
    <row r="21" outlineLevel="1">
      <c r="A21" s="10" t="s">
        <v>32</v>
      </c>
      <c r="B21" s="11">
        <f t="shared" ref="B21:M21" si="5">B19+B20</f>
        <v>2607.89</v>
      </c>
      <c r="C21" s="11">
        <f t="shared" si="5"/>
        <v>2615.87</v>
      </c>
      <c r="D21" s="11">
        <f t="shared" si="5"/>
        <v>4551.24</v>
      </c>
      <c r="E21" s="11">
        <f t="shared" si="5"/>
        <v>5619.27</v>
      </c>
      <c r="F21" s="11">
        <f t="shared" si="5"/>
        <v>5839.84</v>
      </c>
      <c r="G21" s="11">
        <f t="shared" si="5"/>
        <v>6997.42</v>
      </c>
      <c r="H21" s="11">
        <f t="shared" si="5"/>
        <v>7288.67</v>
      </c>
      <c r="I21" s="11">
        <f t="shared" si="5"/>
        <v>6717.57</v>
      </c>
      <c r="J21" s="11">
        <f t="shared" si="5"/>
        <v>6153.88</v>
      </c>
      <c r="K21" s="11">
        <f t="shared" si="5"/>
        <v>6160.19</v>
      </c>
      <c r="L21" s="11">
        <f t="shared" si="5"/>
        <v>5838.16</v>
      </c>
      <c r="M21" s="11">
        <f t="shared" si="5"/>
        <v>6526.64</v>
      </c>
      <c r="N21" s="12">
        <v>66916.64000000001</v>
      </c>
    </row>
    <row r="22" outlineLevel="1">
      <c r="A22" s="6" t="s">
        <v>33</v>
      </c>
      <c r="B22" s="7"/>
      <c r="C22" s="8">
        <v>6238.81</v>
      </c>
      <c r="D22" s="8">
        <v>6238.81</v>
      </c>
      <c r="E22" s="8">
        <v>6238.81</v>
      </c>
      <c r="F22" s="8">
        <v>7215.29</v>
      </c>
      <c r="G22" s="8">
        <v>13033.86</v>
      </c>
      <c r="H22" s="7"/>
      <c r="I22" s="8">
        <v>6516.93</v>
      </c>
      <c r="J22" s="8">
        <v>6516.93</v>
      </c>
      <c r="K22" s="8">
        <v>8656.2</v>
      </c>
      <c r="L22" s="8">
        <v>6516.93</v>
      </c>
      <c r="M22" s="8">
        <v>6516.93</v>
      </c>
      <c r="N22" s="8">
        <v>73689.5</v>
      </c>
    </row>
    <row r="23" outlineLevel="1">
      <c r="A23" s="6" t="s">
        <v>34</v>
      </c>
      <c r="B23" s="7"/>
      <c r="C23" s="7"/>
      <c r="D23" s="7"/>
      <c r="E23" s="7"/>
      <c r="F23" s="8">
        <v>55.0</v>
      </c>
      <c r="G23" s="7"/>
      <c r="H23" s="7"/>
      <c r="I23" s="7"/>
      <c r="J23" s="7"/>
      <c r="K23" s="7"/>
      <c r="L23" s="8">
        <v>801.48</v>
      </c>
      <c r="M23" s="7"/>
      <c r="N23" s="8">
        <v>856.48</v>
      </c>
    </row>
    <row r="24" outlineLevel="1">
      <c r="A24" s="6" t="s">
        <v>35</v>
      </c>
      <c r="B24" s="8">
        <v>1500.0</v>
      </c>
      <c r="C24" s="8">
        <v>1500.0</v>
      </c>
      <c r="D24" s="8">
        <v>1500.0</v>
      </c>
      <c r="E24" s="8">
        <v>1500.0</v>
      </c>
      <c r="F24" s="8">
        <v>1500.0</v>
      </c>
      <c r="G24" s="8">
        <v>1500.0</v>
      </c>
      <c r="H24" s="8">
        <v>1500.0</v>
      </c>
      <c r="I24" s="8">
        <v>1500.0</v>
      </c>
      <c r="J24" s="8">
        <v>1500.0</v>
      </c>
      <c r="K24" s="8">
        <v>1500.0</v>
      </c>
      <c r="L24" s="8">
        <v>1500.0</v>
      </c>
      <c r="M24" s="8">
        <v>1500.0</v>
      </c>
      <c r="N24" s="8">
        <v>18000.0</v>
      </c>
    </row>
    <row r="25" outlineLevel="1">
      <c r="A25" s="6" t="s">
        <v>36</v>
      </c>
      <c r="B25" s="8">
        <v>2827.73</v>
      </c>
      <c r="C25" s="8">
        <v>2827.73</v>
      </c>
      <c r="D25" s="8">
        <v>2827.73</v>
      </c>
      <c r="E25" s="8">
        <v>2827.73</v>
      </c>
      <c r="F25" s="8">
        <v>2827.73</v>
      </c>
      <c r="G25" s="8">
        <v>2827.73</v>
      </c>
      <c r="H25" s="8">
        <v>2827.73</v>
      </c>
      <c r="I25" s="8">
        <v>2827.73</v>
      </c>
      <c r="J25" s="8">
        <v>2827.73</v>
      </c>
      <c r="K25" s="8">
        <v>2827.73</v>
      </c>
      <c r="L25" s="8">
        <v>2827.73</v>
      </c>
      <c r="M25" s="8">
        <v>2827.73</v>
      </c>
      <c r="N25" s="8">
        <v>33932.76</v>
      </c>
    </row>
    <row r="26" outlineLevel="1">
      <c r="A26" s="6" t="s">
        <v>37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outlineLevel="2">
      <c r="A27" s="6" t="s">
        <v>38</v>
      </c>
      <c r="B27" s="7"/>
      <c r="C27" s="7"/>
      <c r="D27" s="7"/>
      <c r="E27" s="7"/>
      <c r="F27" s="7"/>
      <c r="G27" s="7"/>
      <c r="H27" s="7"/>
      <c r="I27" s="7"/>
      <c r="J27" s="7"/>
      <c r="K27" s="8">
        <v>57.63</v>
      </c>
      <c r="L27" s="8">
        <v>18.51</v>
      </c>
      <c r="M27" s="7"/>
      <c r="N27" s="8">
        <v>76.14</v>
      </c>
    </row>
    <row r="28" outlineLevel="2">
      <c r="A28" s="6" t="s">
        <v>39</v>
      </c>
      <c r="B28" s="8">
        <v>28.98</v>
      </c>
      <c r="C28" s="8">
        <v>16.99</v>
      </c>
      <c r="D28" s="8">
        <v>16.99</v>
      </c>
      <c r="E28" s="8">
        <v>592.99</v>
      </c>
      <c r="F28" s="8">
        <v>16.99</v>
      </c>
      <c r="G28" s="8">
        <v>16.99</v>
      </c>
      <c r="H28" s="8">
        <v>16.99</v>
      </c>
      <c r="I28" s="8">
        <v>16.99</v>
      </c>
      <c r="J28" s="8">
        <v>266.99</v>
      </c>
      <c r="K28" s="8">
        <v>16.99</v>
      </c>
      <c r="L28" s="8">
        <v>16.99</v>
      </c>
      <c r="M28" s="8">
        <v>659.89</v>
      </c>
      <c r="N28" s="9">
        <v>1684.77</v>
      </c>
    </row>
    <row r="29" outlineLevel="1">
      <c r="A29" s="10" t="s">
        <v>40</v>
      </c>
      <c r="B29" s="11">
        <f t="shared" ref="B29:M29" si="6">B26+B27+B28</f>
        <v>28.98</v>
      </c>
      <c r="C29" s="11">
        <f t="shared" si="6"/>
        <v>16.99</v>
      </c>
      <c r="D29" s="11">
        <f t="shared" si="6"/>
        <v>16.99</v>
      </c>
      <c r="E29" s="11">
        <f t="shared" si="6"/>
        <v>592.99</v>
      </c>
      <c r="F29" s="11">
        <f t="shared" si="6"/>
        <v>16.99</v>
      </c>
      <c r="G29" s="11">
        <f t="shared" si="6"/>
        <v>16.99</v>
      </c>
      <c r="H29" s="11">
        <f t="shared" si="6"/>
        <v>16.99</v>
      </c>
      <c r="I29" s="11">
        <f t="shared" si="6"/>
        <v>16.99</v>
      </c>
      <c r="J29" s="11">
        <f t="shared" si="6"/>
        <v>266.99</v>
      </c>
      <c r="K29" s="11">
        <f t="shared" si="6"/>
        <v>74.62</v>
      </c>
      <c r="L29" s="11">
        <f t="shared" si="6"/>
        <v>35.5</v>
      </c>
      <c r="M29" s="11">
        <f t="shared" si="6"/>
        <v>659.89</v>
      </c>
      <c r="N29" s="12">
        <v>1760.9099999999999</v>
      </c>
    </row>
    <row r="30" outlineLevel="1">
      <c r="A30" s="6" t="s">
        <v>41</v>
      </c>
      <c r="B30" s="7"/>
      <c r="C30" s="7"/>
      <c r="D30" s="8">
        <v>1891.54</v>
      </c>
      <c r="E30" s="8">
        <v>65.14</v>
      </c>
      <c r="F30" s="8">
        <v>1253.27</v>
      </c>
      <c r="G30" s="8">
        <v>97.22</v>
      </c>
      <c r="H30" s="8">
        <v>106.17</v>
      </c>
      <c r="I30" s="8">
        <v>6925.94</v>
      </c>
      <c r="J30" s="8">
        <v>107.16</v>
      </c>
      <c r="K30" s="8">
        <v>187.11</v>
      </c>
      <c r="L30" s="8">
        <v>116.35</v>
      </c>
      <c r="M30" s="8">
        <v>2403.62</v>
      </c>
      <c r="N30" s="8">
        <v>13153.52</v>
      </c>
    </row>
    <row r="31" outlineLevel="1">
      <c r="A31" s="6" t="s">
        <v>42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outlineLevel="2">
      <c r="A32" s="6" t="s">
        <v>43</v>
      </c>
      <c r="B32" s="7"/>
      <c r="C32" s="7"/>
      <c r="D32" s="7"/>
      <c r="E32" s="7"/>
      <c r="F32" s="7"/>
      <c r="G32" s="7"/>
      <c r="H32" s="8">
        <v>1000.0</v>
      </c>
      <c r="I32" s="7"/>
      <c r="J32" s="8">
        <v>1500.0</v>
      </c>
      <c r="K32" s="8">
        <v>500.0</v>
      </c>
      <c r="L32" s="8">
        <v>500.0</v>
      </c>
      <c r="M32" s="8">
        <v>500.0</v>
      </c>
      <c r="N32" s="8">
        <v>4000.0</v>
      </c>
    </row>
    <row r="33" outlineLevel="2">
      <c r="A33" s="6" t="s">
        <v>44</v>
      </c>
      <c r="B33" s="7"/>
      <c r="C33" s="8">
        <v>1575.0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8">
        <f>B33+C33+D33+E33+F33+G33+H33+I33+J33+B330+B331+B332</f>
        <v>1575</v>
      </c>
    </row>
    <row r="34" outlineLevel="1">
      <c r="A34" s="10" t="s">
        <v>45</v>
      </c>
      <c r="B34" s="11"/>
      <c r="C34" s="11">
        <f>C31+C32+C33</f>
        <v>1575</v>
      </c>
      <c r="D34" s="11"/>
      <c r="E34" s="11"/>
      <c r="F34" s="11"/>
      <c r="G34" s="11"/>
      <c r="H34" s="11">
        <f>H31+H32+H33</f>
        <v>1000</v>
      </c>
      <c r="I34" s="11"/>
      <c r="J34" s="11">
        <f t="shared" ref="J34:M34" si="7">J31+J32+J33</f>
        <v>1500</v>
      </c>
      <c r="K34" s="11">
        <f t="shared" si="7"/>
        <v>500</v>
      </c>
      <c r="L34" s="11">
        <f t="shared" si="7"/>
        <v>500</v>
      </c>
      <c r="M34" s="11">
        <f t="shared" si="7"/>
        <v>500</v>
      </c>
      <c r="N34" s="12">
        <v>5575.0</v>
      </c>
    </row>
    <row r="35" outlineLevel="1">
      <c r="A35" s="6" t="s">
        <v>46</v>
      </c>
      <c r="B35" s="7"/>
      <c r="C35" s="7"/>
      <c r="D35" s="7"/>
      <c r="E35" s="7"/>
      <c r="F35" s="7"/>
      <c r="G35" s="8">
        <v>129.11</v>
      </c>
      <c r="H35" s="7"/>
      <c r="I35" s="7"/>
      <c r="J35" s="7"/>
      <c r="K35" s="7"/>
      <c r="L35" s="7"/>
      <c r="M35" s="7"/>
      <c r="N35" s="8">
        <f>B35+C35+D35+E35+F35+G35+H35+I35+J35+B350+B351+B352</f>
        <v>129.11</v>
      </c>
    </row>
    <row r="36" outlineLevel="2">
      <c r="A36" s="6" t="s">
        <v>47</v>
      </c>
      <c r="B36" s="7"/>
      <c r="C36" s="8">
        <v>20.74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8">
        <f>B36+C36+D36+E36+F36+G36+H36+I36+J36+B360+B361+B362</f>
        <v>20.74</v>
      </c>
    </row>
    <row r="37" outlineLevel="1">
      <c r="A37" s="10" t="s">
        <v>48</v>
      </c>
      <c r="B37" s="11"/>
      <c r="C37" s="11">
        <f>C35+C36</f>
        <v>20.74</v>
      </c>
      <c r="D37" s="11"/>
      <c r="E37" s="11"/>
      <c r="F37" s="11"/>
      <c r="G37" s="11">
        <f>G35+G36</f>
        <v>129.11</v>
      </c>
      <c r="H37" s="11"/>
      <c r="I37" s="11"/>
      <c r="J37" s="11"/>
      <c r="K37" s="11"/>
      <c r="L37" s="11"/>
      <c r="M37" s="11"/>
      <c r="N37" s="12">
        <f>B37+C37+D37+E37+F37+G37+H37+I37+J37+B370+B371+B372</f>
        <v>149.85</v>
      </c>
    </row>
    <row r="38" outlineLevel="1">
      <c r="A38" s="6" t="s">
        <v>49</v>
      </c>
      <c r="B38" s="7"/>
      <c r="C38" s="8">
        <v>39.86</v>
      </c>
      <c r="D38" s="8">
        <v>1424.53</v>
      </c>
      <c r="E38" s="7"/>
      <c r="F38" s="7"/>
      <c r="G38" s="7"/>
      <c r="H38" s="7"/>
      <c r="I38" s="7"/>
      <c r="J38" s="8">
        <v>0.0</v>
      </c>
      <c r="K38" s="7"/>
      <c r="L38" s="7"/>
      <c r="M38" s="8">
        <v>144.28</v>
      </c>
      <c r="N38" s="8">
        <v>1608.6699999999998</v>
      </c>
    </row>
    <row r="39" outlineLevel="2">
      <c r="A39" s="6" t="s">
        <v>50</v>
      </c>
      <c r="B39" s="8">
        <v>100.65</v>
      </c>
      <c r="C39" s="8">
        <v>170.69</v>
      </c>
      <c r="D39" s="8">
        <v>100.52</v>
      </c>
      <c r="E39" s="8">
        <v>105.11</v>
      </c>
      <c r="F39" s="8">
        <v>121.33</v>
      </c>
      <c r="G39" s="8">
        <v>128.5</v>
      </c>
      <c r="H39" s="8">
        <v>136.9</v>
      </c>
      <c r="I39" s="8">
        <v>145.5</v>
      </c>
      <c r="J39" s="8">
        <v>151.81</v>
      </c>
      <c r="K39" s="8">
        <v>159.18</v>
      </c>
      <c r="L39" s="8">
        <v>165.0</v>
      </c>
      <c r="M39" s="8">
        <v>173.52</v>
      </c>
      <c r="N39" s="8">
        <v>1658.71</v>
      </c>
    </row>
    <row r="40" outlineLevel="2">
      <c r="A40" s="6" t="s">
        <v>51</v>
      </c>
      <c r="B40" s="8">
        <v>73.22</v>
      </c>
      <c r="C40" s="7"/>
      <c r="D40" s="8">
        <v>141.73</v>
      </c>
      <c r="E40" s="8">
        <v>68.22</v>
      </c>
      <c r="F40" s="8">
        <v>52.69</v>
      </c>
      <c r="G40" s="8">
        <v>2.77</v>
      </c>
      <c r="H40" s="8">
        <v>187.62</v>
      </c>
      <c r="I40" s="8">
        <v>27.16</v>
      </c>
      <c r="J40" s="7"/>
      <c r="K40" s="8">
        <v>19.38</v>
      </c>
      <c r="L40" s="8">
        <v>45.86</v>
      </c>
      <c r="M40" s="8">
        <v>97.05</v>
      </c>
      <c r="N40" s="8">
        <v>715.6999999999999</v>
      </c>
    </row>
    <row r="41" outlineLevel="2">
      <c r="A41" s="6" t="s">
        <v>52</v>
      </c>
      <c r="B41" s="7"/>
      <c r="C41" s="7"/>
      <c r="D41" s="7"/>
      <c r="E41" s="8">
        <v>140.0</v>
      </c>
      <c r="F41" s="7"/>
      <c r="G41" s="7"/>
      <c r="H41" s="7"/>
      <c r="I41" s="7"/>
      <c r="J41" s="7"/>
      <c r="K41" s="7"/>
      <c r="L41" s="7"/>
      <c r="M41" s="7"/>
      <c r="N41" s="8">
        <f>B41+C41+D41+E41+F41+G41+H41+I41+J41+B410+B411+B412</f>
        <v>140</v>
      </c>
    </row>
    <row r="42" outlineLevel="2">
      <c r="A42" s="6" t="s">
        <v>53</v>
      </c>
      <c r="B42" s="7"/>
      <c r="C42" s="7"/>
      <c r="D42" s="7"/>
      <c r="E42" s="7"/>
      <c r="F42" s="7"/>
      <c r="G42" s="7"/>
      <c r="H42" s="8">
        <v>80.82</v>
      </c>
      <c r="I42" s="7"/>
      <c r="J42" s="7"/>
      <c r="K42" s="7"/>
      <c r="L42" s="7"/>
      <c r="M42" s="7"/>
      <c r="N42" s="8">
        <f>B42+C42+D42+E42+F42+G42+H42+I42+J42+B420+B421+B422</f>
        <v>80.82</v>
      </c>
    </row>
    <row r="43" outlineLevel="2">
      <c r="A43" s="6" t="s">
        <v>54</v>
      </c>
      <c r="B43" s="7"/>
      <c r="C43" s="8">
        <v>1794.0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8">
        <f>B43+C43+D43+E43+F43+G43+H43+I43+J43+B430+B431+B432</f>
        <v>1794</v>
      </c>
    </row>
    <row r="44" outlineLevel="2">
      <c r="A44" s="6" t="s">
        <v>55</v>
      </c>
      <c r="B44" s="8">
        <v>91.98</v>
      </c>
      <c r="C44" s="8">
        <v>101.05</v>
      </c>
      <c r="D44" s="8">
        <v>102.99</v>
      </c>
      <c r="E44" s="8">
        <v>164.99</v>
      </c>
      <c r="F44" s="8">
        <v>322.95</v>
      </c>
      <c r="G44" s="8">
        <v>171.28</v>
      </c>
      <c r="H44" s="8">
        <v>137.98</v>
      </c>
      <c r="I44" s="8">
        <v>414.48</v>
      </c>
      <c r="J44" s="8">
        <v>267.56</v>
      </c>
      <c r="K44" s="8">
        <v>262.8</v>
      </c>
      <c r="L44" s="8">
        <v>661.96</v>
      </c>
      <c r="M44" s="8">
        <v>427.14</v>
      </c>
      <c r="N44" s="9">
        <v>3127.16</v>
      </c>
    </row>
    <row r="45" outlineLevel="1">
      <c r="A45" s="10" t="s">
        <v>56</v>
      </c>
      <c r="B45" s="11">
        <f t="shared" ref="B45:M45" si="8">B38+B39+B40+B41+B42+B43+B44</f>
        <v>265.85</v>
      </c>
      <c r="C45" s="11">
        <f t="shared" si="8"/>
        <v>2105.6</v>
      </c>
      <c r="D45" s="11">
        <f t="shared" si="8"/>
        <v>1769.77</v>
      </c>
      <c r="E45" s="11">
        <f t="shared" si="8"/>
        <v>478.32</v>
      </c>
      <c r="F45" s="11">
        <f t="shared" si="8"/>
        <v>496.97</v>
      </c>
      <c r="G45" s="11">
        <f t="shared" si="8"/>
        <v>302.55</v>
      </c>
      <c r="H45" s="11">
        <f t="shared" si="8"/>
        <v>543.32</v>
      </c>
      <c r="I45" s="11">
        <f t="shared" si="8"/>
        <v>587.14</v>
      </c>
      <c r="J45" s="11">
        <f t="shared" si="8"/>
        <v>419.37</v>
      </c>
      <c r="K45" s="11">
        <f t="shared" si="8"/>
        <v>441.36</v>
      </c>
      <c r="L45" s="11">
        <f t="shared" si="8"/>
        <v>872.82</v>
      </c>
      <c r="M45" s="11">
        <f t="shared" si="8"/>
        <v>841.99</v>
      </c>
      <c r="N45" s="12">
        <v>9125.06</v>
      </c>
    </row>
    <row r="46" outlineLevel="1">
      <c r="A46" s="6" t="s">
        <v>57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outlineLevel="2">
      <c r="A47" s="6" t="s">
        <v>58</v>
      </c>
      <c r="B47" s="8">
        <v>496.06</v>
      </c>
      <c r="C47" s="8">
        <v>456.81</v>
      </c>
      <c r="D47" s="8">
        <v>420.88</v>
      </c>
      <c r="E47" s="8">
        <v>375.48</v>
      </c>
      <c r="F47" s="8">
        <v>1107.06</v>
      </c>
      <c r="G47" s="8">
        <v>1296.57</v>
      </c>
      <c r="H47" s="8">
        <v>1115.93</v>
      </c>
      <c r="I47" s="8">
        <v>895.18</v>
      </c>
      <c r="J47" s="8">
        <v>1059.52</v>
      </c>
      <c r="K47" s="8">
        <v>1250.85</v>
      </c>
      <c r="L47" s="8">
        <v>1136.09</v>
      </c>
      <c r="M47" s="8">
        <v>1853.5</v>
      </c>
      <c r="N47" s="8">
        <v>11463.93</v>
      </c>
    </row>
    <row r="48" outlineLevel="2">
      <c r="A48" s="6" t="s">
        <v>59</v>
      </c>
      <c r="B48" s="8">
        <v>5229.32</v>
      </c>
      <c r="C48" s="8">
        <v>5114.2</v>
      </c>
      <c r="D48" s="8">
        <v>5419.82</v>
      </c>
      <c r="E48" s="8">
        <v>4908.32</v>
      </c>
      <c r="F48" s="8">
        <v>10165.9</v>
      </c>
      <c r="G48" s="8">
        <v>12171.21</v>
      </c>
      <c r="H48" s="8">
        <v>12220.25</v>
      </c>
      <c r="I48" s="8">
        <v>11445.94</v>
      </c>
      <c r="J48" s="8">
        <v>13368.98</v>
      </c>
      <c r="K48" s="8">
        <v>15116.43</v>
      </c>
      <c r="L48" s="8">
        <v>13769.6</v>
      </c>
      <c r="M48" s="8">
        <v>23123.45</v>
      </c>
      <c r="N48" s="9">
        <v>132053.42</v>
      </c>
    </row>
    <row r="49" outlineLevel="1">
      <c r="A49" s="10" t="s">
        <v>60</v>
      </c>
      <c r="B49" s="11">
        <f t="shared" ref="B49:M49" si="9">B46+B47+B48</f>
        <v>5725.38</v>
      </c>
      <c r="C49" s="11">
        <f t="shared" si="9"/>
        <v>5571.01</v>
      </c>
      <c r="D49" s="11">
        <f t="shared" si="9"/>
        <v>5840.7</v>
      </c>
      <c r="E49" s="11">
        <f t="shared" si="9"/>
        <v>5283.8</v>
      </c>
      <c r="F49" s="11">
        <f t="shared" si="9"/>
        <v>11272.96</v>
      </c>
      <c r="G49" s="11">
        <f t="shared" si="9"/>
        <v>13467.78</v>
      </c>
      <c r="H49" s="11">
        <f t="shared" si="9"/>
        <v>13336.18</v>
      </c>
      <c r="I49" s="11">
        <f t="shared" si="9"/>
        <v>12341.12</v>
      </c>
      <c r="J49" s="11">
        <f t="shared" si="9"/>
        <v>14428.5</v>
      </c>
      <c r="K49" s="11">
        <f t="shared" si="9"/>
        <v>16367.28</v>
      </c>
      <c r="L49" s="11">
        <f t="shared" si="9"/>
        <v>14905.69</v>
      </c>
      <c r="M49" s="11">
        <f t="shared" si="9"/>
        <v>24976.95</v>
      </c>
      <c r="N49" s="12">
        <v>143517.35</v>
      </c>
    </row>
    <row r="50" outlineLevel="1">
      <c r="A50" s="6" t="s">
        <v>61</v>
      </c>
      <c r="B50" s="7"/>
      <c r="C50" s="7"/>
      <c r="D50" s="7"/>
      <c r="E50" s="7"/>
      <c r="F50" s="7"/>
      <c r="G50" s="7"/>
      <c r="H50" s="8">
        <v>323.5</v>
      </c>
      <c r="I50" s="7"/>
      <c r="J50" s="7"/>
      <c r="K50" s="8">
        <v>1152.58</v>
      </c>
      <c r="L50" s="7"/>
      <c r="M50" s="7"/>
      <c r="N50" s="8">
        <v>1476.08</v>
      </c>
    </row>
    <row r="51" outlineLevel="1">
      <c r="A51" s="6" t="s">
        <v>62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outlineLevel="2">
      <c r="A52" s="6" t="s">
        <v>63</v>
      </c>
      <c r="B52" s="7"/>
      <c r="C52" s="7"/>
      <c r="D52" s="7"/>
      <c r="E52" s="8">
        <v>0.0</v>
      </c>
      <c r="F52" s="7"/>
      <c r="G52" s="7"/>
      <c r="H52" s="7"/>
      <c r="I52" s="7"/>
      <c r="J52" s="7"/>
      <c r="K52" s="7"/>
      <c r="L52" s="7"/>
      <c r="M52" s="7"/>
      <c r="N52" s="8">
        <f>B52+C52+D52+E52+F52+G52+H52+I52+J52+B520+B521+B522</f>
        <v>0</v>
      </c>
    </row>
    <row r="53" outlineLevel="1">
      <c r="A53" s="10" t="s">
        <v>64</v>
      </c>
      <c r="B53" s="11"/>
      <c r="C53" s="11"/>
      <c r="D53" s="11"/>
      <c r="E53" s="11">
        <f>E51+E52</f>
        <v>0</v>
      </c>
      <c r="F53" s="11"/>
      <c r="G53" s="11"/>
      <c r="H53" s="11"/>
      <c r="I53" s="11"/>
      <c r="J53" s="11"/>
      <c r="K53" s="11"/>
      <c r="L53" s="11"/>
      <c r="M53" s="11"/>
      <c r="N53" s="12">
        <f>B53+C53+D53+E53+F53+G53+H53+I53+J53+B530+B531+B532</f>
        <v>0</v>
      </c>
    </row>
    <row r="54" outlineLevel="1">
      <c r="A54" s="6" t="s">
        <v>65</v>
      </c>
      <c r="B54" s="7"/>
      <c r="C54" s="7"/>
      <c r="D54" s="7"/>
      <c r="E54" s="7"/>
      <c r="F54" s="7"/>
      <c r="G54" s="7"/>
      <c r="H54" s="7"/>
      <c r="I54" s="8">
        <v>64.0</v>
      </c>
      <c r="J54" s="7"/>
      <c r="K54" s="7"/>
      <c r="L54" s="7"/>
      <c r="M54" s="7"/>
      <c r="N54" s="8">
        <f>B54+C54+D54+E54+F54+G54+H54+I54+J54+B540+B541+B542</f>
        <v>64</v>
      </c>
    </row>
    <row r="55" outlineLevel="2">
      <c r="A55" s="6" t="s">
        <v>66</v>
      </c>
      <c r="B55" s="7"/>
      <c r="C55" s="7"/>
      <c r="D55" s="8">
        <v>169.26</v>
      </c>
      <c r="E55" s="7"/>
      <c r="F55" s="7"/>
      <c r="G55" s="7"/>
      <c r="H55" s="7"/>
      <c r="I55" s="8">
        <v>35.0</v>
      </c>
      <c r="J55" s="7"/>
      <c r="K55" s="7"/>
      <c r="L55" s="8">
        <v>598.0</v>
      </c>
      <c r="M55" s="7"/>
      <c r="N55" s="8">
        <v>802.26</v>
      </c>
    </row>
    <row r="56" outlineLevel="2">
      <c r="A56" s="6" t="s">
        <v>67</v>
      </c>
      <c r="B56" s="7"/>
      <c r="C56" s="8">
        <v>149.85</v>
      </c>
      <c r="D56" s="8">
        <v>183.15</v>
      </c>
      <c r="E56" s="7"/>
      <c r="F56" s="7"/>
      <c r="G56" s="7"/>
      <c r="H56" s="7"/>
      <c r="I56" s="8">
        <v>803.85</v>
      </c>
      <c r="J56" s="7"/>
      <c r="K56" s="8">
        <v>146.91</v>
      </c>
      <c r="L56" s="7"/>
      <c r="M56" s="7"/>
      <c r="N56" s="9">
        <v>1283.76</v>
      </c>
    </row>
    <row r="57" outlineLevel="1">
      <c r="A57" s="10" t="s">
        <v>68</v>
      </c>
      <c r="B57" s="11"/>
      <c r="C57" s="11">
        <f t="shared" ref="C57:D57" si="10">C54+C55+C56</f>
        <v>149.85</v>
      </c>
      <c r="D57" s="11">
        <f t="shared" si="10"/>
        <v>352.41</v>
      </c>
      <c r="E57" s="11"/>
      <c r="F57" s="11"/>
      <c r="G57" s="11"/>
      <c r="H57" s="11"/>
      <c r="I57" s="11">
        <f>I54+I55+I56</f>
        <v>902.85</v>
      </c>
      <c r="J57" s="11"/>
      <c r="K57" s="11">
        <f t="shared" ref="K57:L57" si="11">K54+K55+K56</f>
        <v>146.91</v>
      </c>
      <c r="L57" s="11">
        <f t="shared" si="11"/>
        <v>598</v>
      </c>
      <c r="M57" s="11"/>
      <c r="N57" s="12">
        <v>2150.02</v>
      </c>
    </row>
    <row r="58" outlineLevel="1">
      <c r="A58" s="6" t="s">
        <v>69</v>
      </c>
      <c r="B58" s="7"/>
      <c r="C58" s="7"/>
      <c r="D58" s="7"/>
      <c r="E58" s="7"/>
      <c r="F58" s="7"/>
      <c r="G58" s="7"/>
      <c r="H58" s="7"/>
      <c r="I58" s="8">
        <v>2786.0</v>
      </c>
      <c r="J58" s="7"/>
      <c r="K58" s="7"/>
      <c r="L58" s="8">
        <v>-2786.0</v>
      </c>
      <c r="M58" s="7"/>
      <c r="N58" s="8">
        <v>0.0</v>
      </c>
    </row>
    <row r="59" outlineLevel="1">
      <c r="A59" s="6" t="s">
        <v>70</v>
      </c>
      <c r="B59" s="8">
        <v>321.58</v>
      </c>
      <c r="C59" s="8">
        <v>271.82</v>
      </c>
      <c r="D59" s="8">
        <v>226.4</v>
      </c>
      <c r="E59" s="8">
        <v>202.77</v>
      </c>
      <c r="F59" s="8">
        <v>185.36</v>
      </c>
      <c r="G59" s="8">
        <v>233.18</v>
      </c>
      <c r="H59" s="8">
        <v>205.14</v>
      </c>
      <c r="I59" s="8">
        <v>211.39</v>
      </c>
      <c r="J59" s="8">
        <v>232.88</v>
      </c>
      <c r="K59" s="8">
        <v>267.53</v>
      </c>
      <c r="L59" s="8">
        <v>346.07</v>
      </c>
      <c r="M59" s="8">
        <v>380.15</v>
      </c>
      <c r="N59" s="8">
        <v>3084.2700000000004</v>
      </c>
    </row>
    <row r="60" outlineLevel="2">
      <c r="A60" s="6" t="s">
        <v>71</v>
      </c>
      <c r="B60" s="7"/>
      <c r="C60" s="7"/>
      <c r="D60" s="7"/>
      <c r="E60" s="7"/>
      <c r="F60" s="7"/>
      <c r="G60" s="7"/>
      <c r="H60" s="7"/>
      <c r="I60" s="7"/>
      <c r="J60" s="7"/>
      <c r="K60" s="8">
        <v>137.0</v>
      </c>
      <c r="L60" s="8">
        <v>39.96</v>
      </c>
      <c r="M60" s="7"/>
      <c r="N60" s="8">
        <v>176.96</v>
      </c>
    </row>
    <row r="61" outlineLevel="2">
      <c r="A61" s="6" t="s">
        <v>72</v>
      </c>
      <c r="B61" s="8">
        <v>187.1</v>
      </c>
      <c r="C61" s="8">
        <v>187.1</v>
      </c>
      <c r="D61" s="8">
        <v>257.18</v>
      </c>
      <c r="E61" s="8">
        <v>257.18</v>
      </c>
      <c r="F61" s="8">
        <v>257.18</v>
      </c>
      <c r="G61" s="8">
        <v>263.75</v>
      </c>
      <c r="H61" s="8">
        <v>342.03</v>
      </c>
      <c r="I61" s="8">
        <v>319.44</v>
      </c>
      <c r="J61" s="8">
        <v>319.26</v>
      </c>
      <c r="K61" s="8">
        <v>319.26</v>
      </c>
      <c r="L61" s="8">
        <v>343.67</v>
      </c>
      <c r="M61" s="8">
        <v>270.58</v>
      </c>
      <c r="N61" s="8">
        <v>3323.7300000000005</v>
      </c>
    </row>
    <row r="62" outlineLevel="2">
      <c r="A62" s="6" t="s">
        <v>73</v>
      </c>
      <c r="B62" s="7"/>
      <c r="C62" s="8">
        <v>59.54</v>
      </c>
      <c r="D62" s="8">
        <v>74.19</v>
      </c>
      <c r="E62" s="8">
        <v>74.19</v>
      </c>
      <c r="F62" s="8">
        <v>86.94</v>
      </c>
      <c r="G62" s="8">
        <v>107.75</v>
      </c>
      <c r="H62" s="8">
        <v>119.18</v>
      </c>
      <c r="I62" s="8">
        <v>102.46</v>
      </c>
      <c r="J62" s="8">
        <v>87.15</v>
      </c>
      <c r="K62" s="8">
        <v>81.83</v>
      </c>
      <c r="L62" s="8">
        <v>81.17</v>
      </c>
      <c r="M62" s="8">
        <v>81.17</v>
      </c>
      <c r="N62" s="9">
        <v>955.5699999999999</v>
      </c>
    </row>
    <row r="63" outlineLevel="1">
      <c r="A63" s="10" t="s">
        <v>74</v>
      </c>
      <c r="B63" s="11">
        <f t="shared" ref="B63:M63" si="12">B59+B60+B61+B62</f>
        <v>508.68</v>
      </c>
      <c r="C63" s="11">
        <f t="shared" si="12"/>
        <v>518.46</v>
      </c>
      <c r="D63" s="11">
        <f t="shared" si="12"/>
        <v>557.77</v>
      </c>
      <c r="E63" s="11">
        <f t="shared" si="12"/>
        <v>534.14</v>
      </c>
      <c r="F63" s="11">
        <f t="shared" si="12"/>
        <v>529.48</v>
      </c>
      <c r="G63" s="11">
        <f t="shared" si="12"/>
        <v>604.68</v>
      </c>
      <c r="H63" s="11">
        <f t="shared" si="12"/>
        <v>666.35</v>
      </c>
      <c r="I63" s="11">
        <f t="shared" si="12"/>
        <v>633.29</v>
      </c>
      <c r="J63" s="11">
        <f t="shared" si="12"/>
        <v>639.29</v>
      </c>
      <c r="K63" s="11">
        <f t="shared" si="12"/>
        <v>805.62</v>
      </c>
      <c r="L63" s="11">
        <f t="shared" si="12"/>
        <v>810.87</v>
      </c>
      <c r="M63" s="11">
        <f t="shared" si="12"/>
        <v>731.9</v>
      </c>
      <c r="N63" s="13">
        <v>7540.53</v>
      </c>
    </row>
    <row r="64">
      <c r="A64" s="10" t="s">
        <v>75</v>
      </c>
      <c r="B64" s="11">
        <f t="shared" ref="B64:M64" si="13">B21+B22+B23+B24+B25+B29+B30+B34+B37+B45+B49+B50+B53+B57+B58+B63</f>
        <v>13464.51</v>
      </c>
      <c r="C64" s="11">
        <f t="shared" si="13"/>
        <v>23140.06</v>
      </c>
      <c r="D64" s="11">
        <f t="shared" si="13"/>
        <v>25546.96</v>
      </c>
      <c r="E64" s="11">
        <f t="shared" si="13"/>
        <v>23140.2</v>
      </c>
      <c r="F64" s="11">
        <f t="shared" si="13"/>
        <v>31007.53</v>
      </c>
      <c r="G64" s="11">
        <f t="shared" si="13"/>
        <v>38977.34</v>
      </c>
      <c r="H64" s="11">
        <f t="shared" si="13"/>
        <v>27608.91</v>
      </c>
      <c r="I64" s="11">
        <f t="shared" si="13"/>
        <v>41755.56</v>
      </c>
      <c r="J64" s="11">
        <f t="shared" si="13"/>
        <v>34359.85</v>
      </c>
      <c r="K64" s="11">
        <f t="shared" si="13"/>
        <v>38819.6</v>
      </c>
      <c r="L64" s="11">
        <f t="shared" si="13"/>
        <v>32537.53</v>
      </c>
      <c r="M64" s="11">
        <f t="shared" si="13"/>
        <v>47485.65</v>
      </c>
      <c r="N64" s="13">
        <v>377843.7000000001</v>
      </c>
    </row>
    <row r="65">
      <c r="A65" s="10" t="s">
        <v>76</v>
      </c>
      <c r="B65" s="11">
        <f t="shared" ref="B65:M65" si="14">B17-B64</f>
        <v>13270.16</v>
      </c>
      <c r="C65" s="11">
        <f t="shared" si="14"/>
        <v>-3948.01</v>
      </c>
      <c r="D65" s="11">
        <f t="shared" si="14"/>
        <v>1455.7</v>
      </c>
      <c r="E65" s="11">
        <f t="shared" si="14"/>
        <v>18544.49</v>
      </c>
      <c r="F65" s="11">
        <f t="shared" si="14"/>
        <v>20377.63</v>
      </c>
      <c r="G65" s="11">
        <f t="shared" si="14"/>
        <v>-10000.35</v>
      </c>
      <c r="H65" s="11">
        <f t="shared" si="14"/>
        <v>2205.03</v>
      </c>
      <c r="I65" s="11">
        <f t="shared" si="14"/>
        <v>5383.83</v>
      </c>
      <c r="J65" s="11">
        <f t="shared" si="14"/>
        <v>8320.73</v>
      </c>
      <c r="K65" s="11">
        <f t="shared" si="14"/>
        <v>11765.61</v>
      </c>
      <c r="L65" s="11">
        <f t="shared" si="14"/>
        <v>4277.42</v>
      </c>
      <c r="M65" s="11">
        <f t="shared" si="14"/>
        <v>-5413.8</v>
      </c>
      <c r="N65" s="12">
        <v>66238.44</v>
      </c>
    </row>
    <row r="66">
      <c r="A66" s="6" t="s">
        <v>77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4"/>
    </row>
    <row r="67" outlineLevel="1">
      <c r="A67" s="6" t="s">
        <v>78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outlineLevel="2">
      <c r="A68" s="6" t="s">
        <v>79</v>
      </c>
      <c r="B68" s="7"/>
      <c r="C68" s="7"/>
      <c r="D68" s="7"/>
      <c r="E68" s="8">
        <v>250.0</v>
      </c>
      <c r="F68" s="8">
        <v>157.97</v>
      </c>
      <c r="G68" s="8">
        <v>91.4</v>
      </c>
      <c r="H68" s="8">
        <v>127.97</v>
      </c>
      <c r="I68" s="8">
        <v>360.07</v>
      </c>
      <c r="J68" s="8">
        <v>317.17</v>
      </c>
      <c r="K68" s="7"/>
      <c r="L68" s="8">
        <v>279.58</v>
      </c>
      <c r="M68" s="8">
        <v>8.52</v>
      </c>
      <c r="N68" s="8">
        <v>1592.68</v>
      </c>
    </row>
    <row r="69" outlineLevel="2">
      <c r="A69" s="6" t="s">
        <v>80</v>
      </c>
      <c r="B69" s="8">
        <v>225.63</v>
      </c>
      <c r="C69" s="8">
        <v>229.66</v>
      </c>
      <c r="D69" s="8">
        <v>640.11</v>
      </c>
      <c r="E69" s="8">
        <v>377.96</v>
      </c>
      <c r="F69" s="8">
        <v>525.0</v>
      </c>
      <c r="G69" s="8">
        <v>726.93</v>
      </c>
      <c r="H69" s="8">
        <v>715.01</v>
      </c>
      <c r="I69" s="8">
        <v>333.25</v>
      </c>
      <c r="J69" s="8">
        <v>670.5</v>
      </c>
      <c r="K69" s="8">
        <v>217.25</v>
      </c>
      <c r="L69" s="8">
        <v>369.79</v>
      </c>
      <c r="M69" s="8">
        <v>672.33</v>
      </c>
      <c r="N69" s="8">
        <v>5703.42</v>
      </c>
    </row>
    <row r="70" outlineLevel="2">
      <c r="A70" s="6" t="s">
        <v>81</v>
      </c>
      <c r="B70" s="8">
        <v>27.44</v>
      </c>
      <c r="C70" s="8">
        <v>35.47</v>
      </c>
      <c r="D70" s="8">
        <v>24.32</v>
      </c>
      <c r="E70" s="8">
        <v>40.1</v>
      </c>
      <c r="F70" s="8">
        <v>27.47</v>
      </c>
      <c r="G70" s="8">
        <v>19.08</v>
      </c>
      <c r="H70" s="8">
        <v>18.77</v>
      </c>
      <c r="I70" s="8">
        <v>27.68</v>
      </c>
      <c r="J70" s="8">
        <v>21.54</v>
      </c>
      <c r="K70" s="8">
        <v>24.11</v>
      </c>
      <c r="L70" s="8">
        <v>29.56</v>
      </c>
      <c r="M70" s="8">
        <v>26.0</v>
      </c>
      <c r="N70" s="9">
        <v>321.54</v>
      </c>
    </row>
    <row r="71" outlineLevel="1">
      <c r="A71" s="10" t="s">
        <v>82</v>
      </c>
      <c r="B71" s="11">
        <f t="shared" ref="B71:M71" si="15">B67+B68+B69+B70</f>
        <v>253.07</v>
      </c>
      <c r="C71" s="11">
        <f t="shared" si="15"/>
        <v>265.13</v>
      </c>
      <c r="D71" s="11">
        <f t="shared" si="15"/>
        <v>664.43</v>
      </c>
      <c r="E71" s="11">
        <f t="shared" si="15"/>
        <v>668.06</v>
      </c>
      <c r="F71" s="11">
        <f t="shared" si="15"/>
        <v>710.44</v>
      </c>
      <c r="G71" s="11">
        <f t="shared" si="15"/>
        <v>837.41</v>
      </c>
      <c r="H71" s="11">
        <f t="shared" si="15"/>
        <v>861.75</v>
      </c>
      <c r="I71" s="11">
        <f t="shared" si="15"/>
        <v>721</v>
      </c>
      <c r="J71" s="11">
        <f t="shared" si="15"/>
        <v>1009.21</v>
      </c>
      <c r="K71" s="11">
        <f t="shared" si="15"/>
        <v>241.36</v>
      </c>
      <c r="L71" s="11">
        <f t="shared" si="15"/>
        <v>678.93</v>
      </c>
      <c r="M71" s="11">
        <f t="shared" si="15"/>
        <v>706.85</v>
      </c>
      <c r="N71" s="13">
        <v>7617.640000000001</v>
      </c>
    </row>
    <row r="72">
      <c r="A72" s="10" t="s">
        <v>83</v>
      </c>
      <c r="B72" s="11">
        <f t="shared" ref="B72:M72" si="16">B71</f>
        <v>253.07</v>
      </c>
      <c r="C72" s="11">
        <f t="shared" si="16"/>
        <v>265.13</v>
      </c>
      <c r="D72" s="11">
        <f t="shared" si="16"/>
        <v>664.43</v>
      </c>
      <c r="E72" s="11">
        <f t="shared" si="16"/>
        <v>668.06</v>
      </c>
      <c r="F72" s="11">
        <f t="shared" si="16"/>
        <v>710.44</v>
      </c>
      <c r="G72" s="11">
        <f t="shared" si="16"/>
        <v>837.41</v>
      </c>
      <c r="H72" s="11">
        <f t="shared" si="16"/>
        <v>861.75</v>
      </c>
      <c r="I72" s="11">
        <f t="shared" si="16"/>
        <v>721</v>
      </c>
      <c r="J72" s="11">
        <f t="shared" si="16"/>
        <v>1009.21</v>
      </c>
      <c r="K72" s="11">
        <f t="shared" si="16"/>
        <v>241.36</v>
      </c>
      <c r="L72" s="11">
        <f t="shared" si="16"/>
        <v>678.93</v>
      </c>
      <c r="M72" s="11">
        <f t="shared" si="16"/>
        <v>706.85</v>
      </c>
      <c r="N72" s="12">
        <v>7617.640000000001</v>
      </c>
    </row>
    <row r="73">
      <c r="A73" s="6" t="s">
        <v>84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10" t="s">
        <v>85</v>
      </c>
      <c r="B74" s="11">
        <f t="shared" ref="B74:M74" si="17">B72-B73</f>
        <v>253.07</v>
      </c>
      <c r="C74" s="11">
        <f t="shared" si="17"/>
        <v>265.13</v>
      </c>
      <c r="D74" s="11">
        <f t="shared" si="17"/>
        <v>664.43</v>
      </c>
      <c r="E74" s="11">
        <f t="shared" si="17"/>
        <v>668.06</v>
      </c>
      <c r="F74" s="11">
        <f t="shared" si="17"/>
        <v>710.44</v>
      </c>
      <c r="G74" s="11">
        <f t="shared" si="17"/>
        <v>837.41</v>
      </c>
      <c r="H74" s="11">
        <f t="shared" si="17"/>
        <v>861.75</v>
      </c>
      <c r="I74" s="11">
        <f t="shared" si="17"/>
        <v>721</v>
      </c>
      <c r="J74" s="11">
        <f t="shared" si="17"/>
        <v>1009.21</v>
      </c>
      <c r="K74" s="11">
        <f t="shared" si="17"/>
        <v>241.36</v>
      </c>
      <c r="L74" s="11">
        <f t="shared" si="17"/>
        <v>678.93</v>
      </c>
      <c r="M74" s="11">
        <f t="shared" si="17"/>
        <v>706.85</v>
      </c>
      <c r="N74" s="13">
        <v>7617.640000000001</v>
      </c>
    </row>
    <row r="75">
      <c r="A75" s="10" t="s">
        <v>86</v>
      </c>
      <c r="B75" s="11">
        <f t="shared" ref="B75:M75" si="18">B65+B74</f>
        <v>13523.23</v>
      </c>
      <c r="C75" s="11">
        <f t="shared" si="18"/>
        <v>-3682.88</v>
      </c>
      <c r="D75" s="11">
        <f t="shared" si="18"/>
        <v>2120.13</v>
      </c>
      <c r="E75" s="11">
        <f t="shared" si="18"/>
        <v>19212.55</v>
      </c>
      <c r="F75" s="11">
        <f t="shared" si="18"/>
        <v>21088.07</v>
      </c>
      <c r="G75" s="11">
        <f t="shared" si="18"/>
        <v>-9162.94</v>
      </c>
      <c r="H75" s="11">
        <f t="shared" si="18"/>
        <v>3066.78</v>
      </c>
      <c r="I75" s="11">
        <f t="shared" si="18"/>
        <v>6104.83</v>
      </c>
      <c r="J75" s="11">
        <f t="shared" si="18"/>
        <v>9329.94</v>
      </c>
      <c r="K75" s="11">
        <f t="shared" si="18"/>
        <v>12006.97</v>
      </c>
      <c r="L75" s="11">
        <f t="shared" si="18"/>
        <v>4956.35</v>
      </c>
      <c r="M75" s="11">
        <f t="shared" si="18"/>
        <v>-4706.95</v>
      </c>
      <c r="N75" s="12">
        <v>73856.08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>
      <c r="A79" s="14" t="s">
        <v>87</v>
      </c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4">
    <mergeCell ref="A1:N1"/>
    <mergeCell ref="A2:N2"/>
    <mergeCell ref="A3:N3"/>
    <mergeCell ref="A79:N7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0x010100BE6514402CEADD4DB068762481C80919</vt:lpwstr>
  </property>
</Properties>
</file>